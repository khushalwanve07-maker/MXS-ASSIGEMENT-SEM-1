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al\Downloads\"/>
    </mc:Choice>
  </mc:AlternateContent>
  <xr:revisionPtr revIDLastSave="0" documentId="13_ncr:1_{8270E0E1-14E4-467A-B179-4DFE74B46702}" xr6:coauthVersionLast="47" xr6:coauthVersionMax="47" xr10:uidLastSave="{00000000-0000-0000-0000-000000000000}"/>
  <bookViews>
    <workbookView xWindow="0" yWindow="360" windowWidth="23256" windowHeight="12456" xr2:uid="{B6435409-17E9-45A2-8FDB-3A2D196CB0AC}"/>
  </bookViews>
  <sheets>
    <sheet name="H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1" l="1"/>
  <c r="N12" i="1"/>
  <c r="N7" i="1"/>
  <c r="Q17" i="1"/>
  <c r="N17" i="1"/>
  <c r="Q7" i="1"/>
  <c r="Q6" i="1"/>
  <c r="Q5" i="1"/>
  <c r="Q4" i="1"/>
  <c r="N6" i="1"/>
  <c r="N5" i="1"/>
  <c r="N4" i="1"/>
  <c r="K18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4" i="1"/>
  <c r="J18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4" i="1"/>
</calcChain>
</file>

<file path=xl/sharedStrings.xml><?xml version="1.0" encoding="utf-8"?>
<sst xmlns="http://schemas.openxmlformats.org/spreadsheetml/2006/main" count="54" uniqueCount="26">
  <si>
    <t>Dept</t>
  </si>
  <si>
    <t>Exp</t>
  </si>
  <si>
    <t>Salary</t>
  </si>
  <si>
    <t>Rating</t>
  </si>
  <si>
    <t>Training</t>
  </si>
  <si>
    <t>Risk</t>
  </si>
  <si>
    <t>Sales</t>
  </si>
  <si>
    <t>No</t>
  </si>
  <si>
    <t>HR</t>
  </si>
  <si>
    <t>Yes</t>
  </si>
  <si>
    <t>IT</t>
  </si>
  <si>
    <t>Marketing</t>
  </si>
  <si>
    <t>Annual Salary</t>
  </si>
  <si>
    <t>High Performer Flag</t>
  </si>
  <si>
    <t>HR Metrics Calculation</t>
  </si>
  <si>
    <t>Average Performance Rating</t>
  </si>
  <si>
    <t>Average Training Hours</t>
  </si>
  <si>
    <t>Count High Performers</t>
  </si>
  <si>
    <t>Department-wise Average Salary</t>
  </si>
  <si>
    <t>Salary from ID Xlookup</t>
  </si>
  <si>
    <t>Rating from ID Xlookup</t>
  </si>
  <si>
    <t>Dept from ID Vlookup</t>
  </si>
  <si>
    <t>Training from ID Vlookup</t>
  </si>
  <si>
    <t>Count Risk</t>
  </si>
  <si>
    <t>EmP ID</t>
  </si>
  <si>
    <t>Employee Performance &amp; Attrition Analysis – TechNova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</si>
</sst>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performer &amp;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DE-4E9A-A3F4-FC4775136B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DE-4E9A-A3F4-FC4775136BF7}"/>
              </c:ext>
            </c:extLst>
          </c:dPt>
          <c:cat>
            <c:strRef>
              <c:f>HR_Data!$M$6:$M$7</c:f>
              <c:strCache>
                <c:ptCount val="2"/>
                <c:pt idx="0">
                  <c:v>Count High Performers</c:v>
                </c:pt>
                <c:pt idx="1">
                  <c:v>Count Risk</c:v>
                </c:pt>
              </c:strCache>
            </c:strRef>
          </c:cat>
          <c:val>
            <c:numRef>
              <c:f>HR_Data!$N$6:$N$7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C-413E-8090-9747A7340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Performance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HR_Data!$P$4:$P$7</c:f>
              <c:strCache>
                <c:ptCount val="4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HR_Data!$Q$4:$Q$7</c:f>
              <c:numCache>
                <c:formatCode>General</c:formatCode>
                <c:ptCount val="4"/>
                <c:pt idx="0">
                  <c:v>56750</c:v>
                </c:pt>
                <c:pt idx="1">
                  <c:v>50250</c:v>
                </c:pt>
                <c:pt idx="2">
                  <c:v>61250</c:v>
                </c:pt>
                <c:pt idx="3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B-4954-B5A8-6448F16E2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6686960"/>
        <c:axId val="1273787824"/>
        <c:axId val="0"/>
      </c:bar3DChart>
      <c:catAx>
        <c:axId val="12666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787824"/>
        <c:crosses val="autoZero"/>
        <c:auto val="1"/>
        <c:lblAlgn val="ctr"/>
        <c:lblOffset val="100"/>
        <c:noMultiLvlLbl val="0"/>
      </c:catAx>
      <c:valAx>
        <c:axId val="127378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8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259080</xdr:colOff>
      <xdr:row>7</xdr:row>
      <xdr:rowOff>152400</xdr:rowOff>
    </xdr:from>
    <xdr:to>
      <xdr:col>23</xdr:col>
      <xdr:colOff>7620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6A2477-13FF-6923-31D6-F11AF0A5D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274320</xdr:colOff>
      <xdr:row>2</xdr:row>
      <xdr:rowOff>121920</xdr:rowOff>
    </xdr:from>
    <xdr:to>
      <xdr:col>22</xdr:col>
      <xdr:colOff>586740</xdr:colOff>
      <xdr:row>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32AC6E-3C22-77E5-5579-9E3974A49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8748-AC70-43AA-9E68-F8ABFF828EEC}">
  <dimension ref="C1:Q19"/>
  <sheetViews>
    <sheetView tabSelected="1" topLeftCell="C1" workbookViewId="0">
      <selection activeCell="C1" sqref="C1:K2"/>
    </sheetView>
  </sheetViews>
  <sheetFormatPr defaultRowHeight="14.4" x14ac:dyDescent="0.3"/>
  <cols>
    <col min="4" max="4" width="9.44140625" customWidth="1"/>
    <col min="10" max="10" width="11.88671875" bestFit="1" customWidth="1"/>
    <col min="11" max="11" width="9.88671875" customWidth="1"/>
    <col min="13" max="13" width="12.77734375" customWidth="1"/>
    <col min="14" max="14" width="11.109375" customWidth="1"/>
    <col min="16" max="16" width="13.5546875" customWidth="1"/>
  </cols>
  <sheetData>
    <row r="1" spans="3:17" ht="15" thickTop="1" x14ac:dyDescent="0.3">
      <c r="C1" s="11" t="s">
        <v>25</v>
      </c>
      <c r="D1" s="12"/>
      <c r="E1" s="12"/>
      <c r="F1" s="12"/>
      <c r="G1" s="12"/>
      <c r="H1" s="12"/>
      <c r="I1" s="12"/>
      <c r="J1" s="12"/>
      <c r="K1" s="13"/>
    </row>
    <row r="2" spans="3:17" ht="15" thickBot="1" x14ac:dyDescent="0.35">
      <c r="C2" s="14"/>
      <c r="D2" s="15"/>
      <c r="E2" s="15"/>
      <c r="F2" s="15"/>
      <c r="G2" s="15"/>
      <c r="H2" s="15"/>
      <c r="I2" s="15"/>
      <c r="J2" s="15"/>
      <c r="K2" s="16"/>
    </row>
    <row r="3" spans="3:17" ht="58.8" customHeight="1" thickTop="1" thickBot="1" x14ac:dyDescent="0.35">
      <c r="C3" s="1" t="s">
        <v>24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12</v>
      </c>
      <c r="K3" s="1" t="s">
        <v>13</v>
      </c>
      <c r="M3" s="6" t="s">
        <v>14</v>
      </c>
      <c r="N3" s="7"/>
      <c r="P3" s="8" t="s">
        <v>18</v>
      </c>
      <c r="Q3" s="8"/>
    </row>
    <row r="4" spans="3:17" ht="58.8" customHeight="1" thickTop="1" thickBot="1" x14ac:dyDescent="0.35">
      <c r="C4" s="2">
        <v>1</v>
      </c>
      <c r="D4" s="2" t="s">
        <v>6</v>
      </c>
      <c r="E4" s="2">
        <v>2</v>
      </c>
      <c r="F4" s="2">
        <v>40000</v>
      </c>
      <c r="G4" s="2">
        <v>4</v>
      </c>
      <c r="H4" s="2">
        <v>20</v>
      </c>
      <c r="I4" s="2" t="s">
        <v>7</v>
      </c>
      <c r="J4" s="2">
        <f>F4*12</f>
        <v>480000</v>
      </c>
      <c r="K4" s="2" t="str">
        <f>IF(G4&gt;=4,"Yes","No")</f>
        <v>Yes</v>
      </c>
      <c r="M4" s="2" t="s">
        <v>15</v>
      </c>
      <c r="N4" s="3">
        <f>AVERAGE(G4:G18)</f>
        <v>3.8666666666666667</v>
      </c>
      <c r="O4" s="4"/>
      <c r="P4" s="5" t="s">
        <v>6</v>
      </c>
      <c r="Q4" s="5">
        <f>AVERAGEIF(D4:D18,"Sales",F4:F18)</f>
        <v>56750</v>
      </c>
    </row>
    <row r="5" spans="3:17" ht="30" thickTop="1" thickBot="1" x14ac:dyDescent="0.35">
      <c r="C5" s="2">
        <v>2</v>
      </c>
      <c r="D5" s="2" t="s">
        <v>8</v>
      </c>
      <c r="E5" s="2">
        <v>5</v>
      </c>
      <c r="F5" s="2">
        <v>50000</v>
      </c>
      <c r="G5" s="2">
        <v>3</v>
      </c>
      <c r="H5" s="2">
        <v>15</v>
      </c>
      <c r="I5" s="2" t="s">
        <v>9</v>
      </c>
      <c r="J5" s="2">
        <f t="shared" ref="J5:J17" si="0">F5*12</f>
        <v>600000</v>
      </c>
      <c r="K5" s="2" t="str">
        <f t="shared" ref="K5:K18" si="1">IF(G5&gt;=4,"Yes","No")</f>
        <v>No</v>
      </c>
      <c r="M5" s="2" t="s">
        <v>16</v>
      </c>
      <c r="N5" s="3">
        <f>AVERAGE(H4:H18)</f>
        <v>19.933333333333334</v>
      </c>
      <c r="O5" s="4"/>
      <c r="P5" s="5" t="s">
        <v>8</v>
      </c>
      <c r="Q5" s="5">
        <f>AVERAGEIF(D4:D18,"HR",F4:F18)</f>
        <v>50250</v>
      </c>
    </row>
    <row r="6" spans="3:17" ht="30" thickTop="1" thickBot="1" x14ac:dyDescent="0.35">
      <c r="C6" s="2">
        <v>3</v>
      </c>
      <c r="D6" s="2" t="s">
        <v>10</v>
      </c>
      <c r="E6" s="2">
        <v>3</v>
      </c>
      <c r="F6" s="2">
        <v>60000</v>
      </c>
      <c r="G6" s="2">
        <v>5</v>
      </c>
      <c r="H6" s="2">
        <v>25</v>
      </c>
      <c r="I6" s="2" t="s">
        <v>7</v>
      </c>
      <c r="J6" s="2">
        <f t="shared" si="0"/>
        <v>720000</v>
      </c>
      <c r="K6" s="2" t="str">
        <f t="shared" si="1"/>
        <v>Yes</v>
      </c>
      <c r="M6" s="2" t="s">
        <v>17</v>
      </c>
      <c r="N6" s="2">
        <f>COUNTIF(K4:K18,"Yes")</f>
        <v>10</v>
      </c>
      <c r="O6" s="4"/>
      <c r="P6" s="5" t="s">
        <v>10</v>
      </c>
      <c r="Q6" s="5">
        <f>AVERAGEIF(D4:D18,"IT",F4:F18)</f>
        <v>61250</v>
      </c>
    </row>
    <row r="7" spans="3:17" ht="15.6" thickTop="1" thickBot="1" x14ac:dyDescent="0.35">
      <c r="C7" s="2">
        <v>4</v>
      </c>
      <c r="D7" s="2" t="s">
        <v>11</v>
      </c>
      <c r="E7" s="2">
        <v>4</v>
      </c>
      <c r="F7" s="2">
        <v>45000</v>
      </c>
      <c r="G7" s="2">
        <v>4</v>
      </c>
      <c r="H7" s="2">
        <v>18</v>
      </c>
      <c r="I7" s="2" t="s">
        <v>7</v>
      </c>
      <c r="J7" s="2">
        <f t="shared" si="0"/>
        <v>540000</v>
      </c>
      <c r="K7" s="2" t="str">
        <f t="shared" si="1"/>
        <v>Yes</v>
      </c>
      <c r="M7" s="5" t="s">
        <v>23</v>
      </c>
      <c r="N7" s="5">
        <f>COUNTIF(I4:I18,"Yes")</f>
        <v>5</v>
      </c>
      <c r="O7" s="4"/>
      <c r="P7" s="5" t="s">
        <v>11</v>
      </c>
      <c r="Q7" s="5">
        <f>AVERAGEIF(D4:D18,"Marketing",F4:F18)</f>
        <v>43000</v>
      </c>
    </row>
    <row r="8" spans="3:17" ht="15.6" thickTop="1" thickBot="1" x14ac:dyDescent="0.35">
      <c r="C8" s="2">
        <v>5</v>
      </c>
      <c r="D8" s="2" t="s">
        <v>6</v>
      </c>
      <c r="E8" s="2">
        <v>6</v>
      </c>
      <c r="F8" s="2">
        <v>70000</v>
      </c>
      <c r="G8" s="2">
        <v>5</v>
      </c>
      <c r="H8" s="2">
        <v>30</v>
      </c>
      <c r="I8" s="2" t="s">
        <v>7</v>
      </c>
      <c r="J8" s="2">
        <f t="shared" si="0"/>
        <v>840000</v>
      </c>
      <c r="K8" s="2" t="str">
        <f t="shared" si="1"/>
        <v>Yes</v>
      </c>
      <c r="M8" s="4"/>
      <c r="N8" s="4"/>
      <c r="O8" s="4"/>
      <c r="P8" s="4"/>
      <c r="Q8" s="4"/>
    </row>
    <row r="9" spans="3:17" ht="15.6" thickTop="1" thickBot="1" x14ac:dyDescent="0.35">
      <c r="C9" s="2">
        <v>6</v>
      </c>
      <c r="D9" s="2" t="s">
        <v>10</v>
      </c>
      <c r="E9" s="2">
        <v>2</v>
      </c>
      <c r="F9" s="2">
        <v>55000</v>
      </c>
      <c r="G9" s="2">
        <v>3</v>
      </c>
      <c r="H9" s="2">
        <v>12</v>
      </c>
      <c r="I9" s="2" t="s">
        <v>9</v>
      </c>
      <c r="J9" s="2">
        <f t="shared" si="0"/>
        <v>660000</v>
      </c>
      <c r="K9" s="2" t="str">
        <f t="shared" si="1"/>
        <v>No</v>
      </c>
      <c r="O9" s="4"/>
    </row>
    <row r="10" spans="3:17" ht="15.6" thickTop="1" thickBot="1" x14ac:dyDescent="0.35">
      <c r="C10" s="2">
        <v>7</v>
      </c>
      <c r="D10" s="2" t="s">
        <v>8</v>
      </c>
      <c r="E10" s="2">
        <v>7</v>
      </c>
      <c r="F10" s="2">
        <v>52000</v>
      </c>
      <c r="G10" s="2">
        <v>4</v>
      </c>
      <c r="H10" s="2">
        <v>22</v>
      </c>
      <c r="I10" s="2" t="s">
        <v>7</v>
      </c>
      <c r="J10" s="2">
        <f t="shared" si="0"/>
        <v>624000</v>
      </c>
      <c r="K10" s="2" t="str">
        <f t="shared" si="1"/>
        <v>Yes</v>
      </c>
      <c r="O10" s="4"/>
    </row>
    <row r="11" spans="3:17" ht="15.6" thickTop="1" thickBot="1" x14ac:dyDescent="0.35">
      <c r="C11" s="2">
        <v>8</v>
      </c>
      <c r="D11" s="2" t="s">
        <v>11</v>
      </c>
      <c r="E11" s="2">
        <v>1</v>
      </c>
      <c r="F11" s="2">
        <v>38000</v>
      </c>
      <c r="G11" s="2">
        <v>2</v>
      </c>
      <c r="H11" s="2">
        <v>10</v>
      </c>
      <c r="I11" s="2" t="s">
        <v>9</v>
      </c>
      <c r="J11" s="2">
        <f t="shared" si="0"/>
        <v>456000</v>
      </c>
      <c r="K11" s="2" t="str">
        <f t="shared" si="1"/>
        <v>No</v>
      </c>
      <c r="M11" s="9" t="s">
        <v>19</v>
      </c>
      <c r="N11" s="10"/>
      <c r="O11" s="4"/>
      <c r="P11" s="9" t="s">
        <v>20</v>
      </c>
      <c r="Q11" s="10"/>
    </row>
    <row r="12" spans="3:17" ht="15.6" thickTop="1" thickBot="1" x14ac:dyDescent="0.35">
      <c r="C12" s="2">
        <v>9</v>
      </c>
      <c r="D12" s="2" t="s">
        <v>6</v>
      </c>
      <c r="E12" s="2">
        <v>8</v>
      </c>
      <c r="F12" s="2">
        <v>75000</v>
      </c>
      <c r="G12" s="2">
        <v>5</v>
      </c>
      <c r="H12" s="2">
        <v>28</v>
      </c>
      <c r="I12" s="2" t="s">
        <v>7</v>
      </c>
      <c r="J12" s="2">
        <f t="shared" si="0"/>
        <v>900000</v>
      </c>
      <c r="K12" s="2" t="str">
        <f t="shared" si="1"/>
        <v>Yes</v>
      </c>
      <c r="M12" s="5">
        <v>2</v>
      </c>
      <c r="N12" s="5">
        <f>_xlfn.XLOOKUP(M12,C4:C18,J4:J18)</f>
        <v>600000</v>
      </c>
      <c r="O12" s="4"/>
      <c r="P12" s="5">
        <v>11</v>
      </c>
      <c r="Q12" s="5">
        <f>_xlfn.XLOOKUP(P12,C4:C18,G4:G18)</f>
        <v>3</v>
      </c>
    </row>
    <row r="13" spans="3:17" ht="15.6" thickTop="1" thickBot="1" x14ac:dyDescent="0.35">
      <c r="C13" s="2">
        <v>10</v>
      </c>
      <c r="D13" s="2" t="s">
        <v>10</v>
      </c>
      <c r="E13" s="2">
        <v>4</v>
      </c>
      <c r="F13" s="2">
        <v>62000</v>
      </c>
      <c r="G13" s="2">
        <v>4</v>
      </c>
      <c r="H13" s="2">
        <v>20</v>
      </c>
      <c r="I13" s="2" t="s">
        <v>7</v>
      </c>
      <c r="J13" s="2">
        <f t="shared" si="0"/>
        <v>744000</v>
      </c>
      <c r="K13" s="2" t="str">
        <f t="shared" si="1"/>
        <v>Yes</v>
      </c>
      <c r="O13" s="4"/>
    </row>
    <row r="14" spans="3:17" ht="15.6" thickTop="1" thickBot="1" x14ac:dyDescent="0.35">
      <c r="C14" s="2">
        <v>11</v>
      </c>
      <c r="D14" s="2" t="s">
        <v>8</v>
      </c>
      <c r="E14" s="2">
        <v>3</v>
      </c>
      <c r="F14" s="2">
        <v>48000</v>
      </c>
      <c r="G14" s="2">
        <v>3</v>
      </c>
      <c r="H14" s="2">
        <v>16</v>
      </c>
      <c r="I14" s="2" t="s">
        <v>9</v>
      </c>
      <c r="J14" s="2">
        <f t="shared" si="0"/>
        <v>576000</v>
      </c>
      <c r="K14" s="2" t="str">
        <f t="shared" si="1"/>
        <v>No</v>
      </c>
      <c r="O14" s="4"/>
    </row>
    <row r="15" spans="3:17" ht="15.6" thickTop="1" thickBot="1" x14ac:dyDescent="0.35">
      <c r="C15" s="2">
        <v>12</v>
      </c>
      <c r="D15" s="2" t="s">
        <v>11</v>
      </c>
      <c r="E15" s="2">
        <v>5</v>
      </c>
      <c r="F15" s="2">
        <v>46000</v>
      </c>
      <c r="G15" s="2">
        <v>4</v>
      </c>
      <c r="H15" s="2">
        <v>24</v>
      </c>
      <c r="I15" s="2" t="s">
        <v>7</v>
      </c>
      <c r="J15" s="2">
        <f t="shared" si="0"/>
        <v>552000</v>
      </c>
      <c r="K15" s="2" t="str">
        <f t="shared" si="1"/>
        <v>Yes</v>
      </c>
    </row>
    <row r="16" spans="3:17" ht="15.6" thickTop="1" thickBot="1" x14ac:dyDescent="0.35">
      <c r="C16" s="2">
        <v>13</v>
      </c>
      <c r="D16" s="2" t="s">
        <v>6</v>
      </c>
      <c r="E16" s="2">
        <v>2</v>
      </c>
      <c r="F16" s="2">
        <v>42000</v>
      </c>
      <c r="G16" s="2">
        <v>3</v>
      </c>
      <c r="H16" s="2">
        <v>14</v>
      </c>
      <c r="I16" s="2" t="s">
        <v>9</v>
      </c>
      <c r="J16" s="2">
        <f t="shared" si="0"/>
        <v>504000</v>
      </c>
      <c r="K16" s="2" t="str">
        <f t="shared" si="1"/>
        <v>No</v>
      </c>
      <c r="M16" s="9" t="s">
        <v>21</v>
      </c>
      <c r="N16" s="10"/>
      <c r="P16" s="9" t="s">
        <v>22</v>
      </c>
      <c r="Q16" s="10"/>
    </row>
    <row r="17" spans="3:17" ht="15.6" thickTop="1" thickBot="1" x14ac:dyDescent="0.35">
      <c r="C17" s="2">
        <v>14</v>
      </c>
      <c r="D17" s="2" t="s">
        <v>10</v>
      </c>
      <c r="E17" s="2">
        <v>6</v>
      </c>
      <c r="F17" s="2">
        <v>68000</v>
      </c>
      <c r="G17" s="2">
        <v>5</v>
      </c>
      <c r="H17" s="2">
        <v>26</v>
      </c>
      <c r="I17" s="2" t="s">
        <v>7</v>
      </c>
      <c r="J17" s="2">
        <f t="shared" si="0"/>
        <v>816000</v>
      </c>
      <c r="K17" s="2" t="str">
        <f t="shared" si="1"/>
        <v>Yes</v>
      </c>
      <c r="M17" s="5">
        <v>2</v>
      </c>
      <c r="N17" s="5" t="str">
        <f>VLOOKUP(M17,C3:K18,2,FALSE)</f>
        <v>HR</v>
      </c>
      <c r="P17" s="5">
        <v>9</v>
      </c>
      <c r="Q17" s="5">
        <f>VLOOKUP(P17,C3:K18,6,FALSE)</f>
        <v>28</v>
      </c>
    </row>
    <row r="18" spans="3:17" ht="15.6" thickTop="1" thickBot="1" x14ac:dyDescent="0.35">
      <c r="C18" s="2">
        <v>15</v>
      </c>
      <c r="D18" s="2" t="s">
        <v>8</v>
      </c>
      <c r="E18" s="2">
        <v>4</v>
      </c>
      <c r="F18" s="2">
        <v>51000</v>
      </c>
      <c r="G18" s="2">
        <v>4</v>
      </c>
      <c r="H18" s="2">
        <v>19</v>
      </c>
      <c r="I18" s="2" t="s">
        <v>7</v>
      </c>
      <c r="J18" s="2">
        <f>F18*12</f>
        <v>612000</v>
      </c>
      <c r="K18" s="2" t="str">
        <f t="shared" si="1"/>
        <v>Yes</v>
      </c>
    </row>
    <row r="19" spans="3:17" ht="15" thickTop="1" x14ac:dyDescent="0.3"/>
  </sheetData>
  <mergeCells count="7">
    <mergeCell ref="M16:N16"/>
    <mergeCell ref="P16:Q16"/>
    <mergeCell ref="C1:K2"/>
    <mergeCell ref="M3:N3"/>
    <mergeCell ref="P3:Q3"/>
    <mergeCell ref="M11:N11"/>
    <mergeCell ref="P11:Q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Vighne</dc:creator>
  <cp:lastModifiedBy>Khushal Wanve</cp:lastModifiedBy>
  <dcterms:created xsi:type="dcterms:W3CDTF">2026-02-15T13:59:52Z</dcterms:created>
  <dcterms:modified xsi:type="dcterms:W3CDTF">2026-02-21T08:45:34Z</dcterms:modified>
</cp:coreProperties>
</file>
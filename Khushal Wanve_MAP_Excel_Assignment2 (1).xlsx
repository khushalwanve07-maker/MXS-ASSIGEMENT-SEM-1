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ictures\Screenshots\Assignment\"/>
    </mc:Choice>
  </mc:AlternateContent>
  <xr:revisionPtr revIDLastSave="0" documentId="13_ncr:1_{105CC9D5-915A-4E16-9F6D-CEBB9A497559}" xr6:coauthVersionLast="47" xr6:coauthVersionMax="47" xr10:uidLastSave="{00000000-0000-0000-0000-000000000000}"/>
  <bookViews>
    <workbookView xWindow="-108" yWindow="-108" windowWidth="23256" windowHeight="12456" xr2:uid="{326A08DD-9A5A-4B67-AF1D-A8E82D80A6F9}"/>
  </bookViews>
  <sheets>
    <sheet name="Sheet2" sheetId="2" r:id="rId1"/>
    <sheet name="Survey Data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1" l="1"/>
  <c r="O9" i="1"/>
  <c r="O7" i="1"/>
  <c r="O8" i="1"/>
</calcChain>
</file>

<file path=xl/sharedStrings.xml><?xml version="1.0" encoding="utf-8"?>
<sst xmlns="http://schemas.openxmlformats.org/spreadsheetml/2006/main" count="149" uniqueCount="39">
  <si>
    <t>ID</t>
  </si>
  <si>
    <t>Age</t>
  </si>
  <si>
    <t>Gender</t>
  </si>
  <si>
    <t>City</t>
  </si>
  <si>
    <t>Awareness</t>
  </si>
  <si>
    <t>Frequency</t>
  </si>
  <si>
    <t>Rating</t>
  </si>
  <si>
    <t>Recommend</t>
  </si>
  <si>
    <t>18–25</t>
  </si>
  <si>
    <t>Male</t>
  </si>
  <si>
    <t>Metro</t>
  </si>
  <si>
    <t>Yes</t>
  </si>
  <si>
    <t>Frequent</t>
  </si>
  <si>
    <t>26–35</t>
  </si>
  <si>
    <t>Female</t>
  </si>
  <si>
    <t>Occasional</t>
  </si>
  <si>
    <t>36–45</t>
  </si>
  <si>
    <t>Non-Metro</t>
  </si>
  <si>
    <t>No</t>
  </si>
  <si>
    <t>Rare</t>
  </si>
  <si>
    <t>46+</t>
  </si>
  <si>
    <t>Other</t>
  </si>
  <si>
    <t>18–26</t>
  </si>
  <si>
    <t>26–36</t>
  </si>
  <si>
    <t>36–46</t>
  </si>
  <si>
    <t>18–27</t>
  </si>
  <si>
    <t>26–37</t>
  </si>
  <si>
    <t>36–47</t>
  </si>
  <si>
    <t>18–28</t>
  </si>
  <si>
    <t>26–38</t>
  </si>
  <si>
    <t>36–48</t>
  </si>
  <si>
    <t>Logical and Percentage
Analysis</t>
  </si>
  <si>
    <t>Percentage of customers aware of the product</t>
  </si>
  <si>
    <t>Percentage of satisfied customers (Rating ≥ 4)</t>
  </si>
  <si>
    <t>Recommendation Rate (% Yes)</t>
  </si>
  <si>
    <t>Frequent buyers count (use COUNTIF)</t>
  </si>
  <si>
    <t>Grand Total</t>
  </si>
  <si>
    <t>Row Labels</t>
  </si>
  <si>
    <t>Sum of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</si>
</sst>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2" borderId="1" xfId="0" applyFill="1" applyBorder="1" applyAlignment="1">
      <alignment wrapText="1"/>
    </xf>
    <xf numFmtId="0" fontId="0" fillId="2" borderId="2" xfId="0" applyFill="1" applyBorder="1"/>
    <xf numFmtId="0" fontId="0" fillId="2" borderId="4" xfId="0" applyFill="1" applyBorder="1" applyAlignment="1">
      <alignment wrapText="1"/>
    </xf>
    <xf numFmtId="0" fontId="0" fillId="2" borderId="5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3" fillId="3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[SumitVighne_MAP_Excel_Assignment2.xlsx]Sheet2!PivotTable2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4.9427821522309644E-2"/>
              <c:y val="-5.8349380919776352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6.8471529689595717E-2"/>
              <c:y val="-0.11558562085816625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2.025721784776903E-2"/>
              <c:y val="3.2062364487047815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5.0413531641878097E-2"/>
              <c:y val="1.6691986191943231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5.0154855643044553E-2"/>
              <c:y val="-1.3633316215907795E-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2.7862058909303003E-2"/>
              <c:y val="6.1066415611090432E-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0.11920589093030035"/>
              <c:y val="-0.1082195737761040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6.8766404199475063E-3"/>
              <c:y val="-0.1974776760241927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3.2023622047244092E-2"/>
              <c:y val="-0.1388608353303663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5.5722659667541544E-2"/>
              <c:y val="-0.1148746861805318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6.7959171770195378E-2"/>
              <c:y val="-5.030811365970558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5.7799066783318732E-2"/>
              <c:y val="-1.7995406824146982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7.0331875182268855E-2"/>
              <c:y val="-1.3633316215907795E-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Sheet2!$C$5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E80A-40D5-A89F-AD2C2A1B11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80A-40D5-A89F-AD2C2A1B11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80A-40D5-A89F-AD2C2A1B11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E80A-40D5-A89F-AD2C2A1B11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E80A-40D5-A89F-AD2C2A1B114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E80A-40D5-A89F-AD2C2A1B114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E80A-40D5-A89F-AD2C2A1B114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E80A-40D5-A89F-AD2C2A1B114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E80A-40D5-A89F-AD2C2A1B114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E80A-40D5-A89F-AD2C2A1B114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E80A-40D5-A89F-AD2C2A1B114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E80A-40D5-A89F-AD2C2A1B114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E80A-40D5-A89F-AD2C2A1B114C}"/>
              </c:ext>
            </c:extLst>
          </c:dPt>
          <c:dLbls>
            <c:dLbl>
              <c:idx val="0"/>
              <c:layout>
                <c:manualLayout>
                  <c:x val="4.9427821522309644E-2"/>
                  <c:y val="-5.834938091977635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0A-40D5-A89F-AD2C2A1B114C}"/>
                </c:ext>
              </c:extLst>
            </c:dLbl>
            <c:dLbl>
              <c:idx val="1"/>
              <c:layout>
                <c:manualLayout>
                  <c:x val="-6.8471529689595717E-2"/>
                  <c:y val="-0.1155856208581662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0A-40D5-A89F-AD2C2A1B114C}"/>
                </c:ext>
              </c:extLst>
            </c:dLbl>
            <c:dLbl>
              <c:idx val="2"/>
              <c:layout>
                <c:manualLayout>
                  <c:x val="5.0413531641878097E-2"/>
                  <c:y val="1.669198619194323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0A-40D5-A89F-AD2C2A1B114C}"/>
                </c:ext>
              </c:extLst>
            </c:dLbl>
            <c:dLbl>
              <c:idx val="3"/>
              <c:layout>
                <c:manualLayout>
                  <c:x val="2.025721784776903E-2"/>
                  <c:y val="3.206236448704781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0A-40D5-A89F-AD2C2A1B114C}"/>
                </c:ext>
              </c:extLst>
            </c:dLbl>
            <c:dLbl>
              <c:idx val="4"/>
              <c:layout>
                <c:manualLayout>
                  <c:x val="2.7862058909303003E-2"/>
                  <c:y val="6.106641561109043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0A-40D5-A89F-AD2C2A1B114C}"/>
                </c:ext>
              </c:extLst>
            </c:dLbl>
            <c:dLbl>
              <c:idx val="5"/>
              <c:layout>
                <c:manualLayout>
                  <c:x val="5.0154855643044553E-2"/>
                  <c:y val="-1.3633316215907795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80A-40D5-A89F-AD2C2A1B114C}"/>
                </c:ext>
              </c:extLst>
            </c:dLbl>
            <c:dLbl>
              <c:idx val="6"/>
              <c:layout>
                <c:manualLayout>
                  <c:x val="-7.0331875182268855E-2"/>
                  <c:y val="-1.3633316215907795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80A-40D5-A89F-AD2C2A1B114C}"/>
                </c:ext>
              </c:extLst>
            </c:dLbl>
            <c:dLbl>
              <c:idx val="7"/>
              <c:layout>
                <c:manualLayout>
                  <c:x val="-5.7799066783318732E-2"/>
                  <c:y val="-1.799540682414698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80A-40D5-A89F-AD2C2A1B114C}"/>
                </c:ext>
              </c:extLst>
            </c:dLbl>
            <c:dLbl>
              <c:idx val="8"/>
              <c:layout>
                <c:manualLayout>
                  <c:x val="-6.7959171770195378E-2"/>
                  <c:y val="-5.030811365970558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80A-40D5-A89F-AD2C2A1B114C}"/>
                </c:ext>
              </c:extLst>
            </c:dLbl>
            <c:dLbl>
              <c:idx val="9"/>
              <c:layout>
                <c:manualLayout>
                  <c:x val="-5.5722659667541544E-2"/>
                  <c:y val="-0.1148746861805318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0A-40D5-A89F-AD2C2A1B114C}"/>
                </c:ext>
              </c:extLst>
            </c:dLbl>
            <c:dLbl>
              <c:idx val="10"/>
              <c:layout>
                <c:manualLayout>
                  <c:x val="-3.2023622047244092E-2"/>
                  <c:y val="-0.1388608353303663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80A-40D5-A89F-AD2C2A1B114C}"/>
                </c:ext>
              </c:extLst>
            </c:dLbl>
            <c:dLbl>
              <c:idx val="11"/>
              <c:layout>
                <c:manualLayout>
                  <c:x val="-6.8766404199475063E-3"/>
                  <c:y val="-0.1974776760241927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80A-40D5-A89F-AD2C2A1B114C}"/>
                </c:ext>
              </c:extLst>
            </c:dLbl>
            <c:dLbl>
              <c:idx val="12"/>
              <c:layout>
                <c:manualLayout>
                  <c:x val="0.11920589093030035"/>
                  <c:y val="-0.1082195737761040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80A-40D5-A89F-AD2C2A1B114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Sheet2!$B$6:$B$19</c:f>
              <c:strCache>
                <c:ptCount val="13"/>
                <c:pt idx="0">
                  <c:v>18–25</c:v>
                </c:pt>
                <c:pt idx="1">
                  <c:v>18–26</c:v>
                </c:pt>
                <c:pt idx="2">
                  <c:v>18–27</c:v>
                </c:pt>
                <c:pt idx="3">
                  <c:v>18–28</c:v>
                </c:pt>
                <c:pt idx="4">
                  <c:v>26–35</c:v>
                </c:pt>
                <c:pt idx="5">
                  <c:v>26–36</c:v>
                </c:pt>
                <c:pt idx="6">
                  <c:v>26–37</c:v>
                </c:pt>
                <c:pt idx="7">
                  <c:v>26–38</c:v>
                </c:pt>
                <c:pt idx="8">
                  <c:v>36–45</c:v>
                </c:pt>
                <c:pt idx="9">
                  <c:v>36–46</c:v>
                </c:pt>
                <c:pt idx="10">
                  <c:v>36–47</c:v>
                </c:pt>
                <c:pt idx="11">
                  <c:v>36–48</c:v>
                </c:pt>
                <c:pt idx="12">
                  <c:v>46+</c:v>
                </c:pt>
              </c:strCache>
            </c:strRef>
          </c:cat>
          <c:val>
            <c:numRef>
              <c:f>Sheet2!$C$6:$C$19</c:f>
              <c:numCache>
                <c:formatCode>General</c:formatCode>
                <c:ptCount val="13"/>
                <c:pt idx="0">
                  <c:v>10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2.2999999999999998</c:v>
                </c:pt>
                <c:pt idx="1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A-40D5-A89F-AD2C2A1B114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34174640150437"/>
          <c:y val="2.9908208987688436E-3"/>
          <c:w val="0.1522647510746806"/>
          <c:h val="0.610752091762010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[SumitVighne_MAP_Excel_Assignment2.xlsx]Sheet2!PivotTable2</c:name>
    <c:fmtId val="3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Sheet2!$B$6:$B$19</c:f>
              <c:strCache>
                <c:ptCount val="13"/>
                <c:pt idx="0">
                  <c:v>18–25</c:v>
                </c:pt>
                <c:pt idx="1">
                  <c:v>18–26</c:v>
                </c:pt>
                <c:pt idx="2">
                  <c:v>18–27</c:v>
                </c:pt>
                <c:pt idx="3">
                  <c:v>18–28</c:v>
                </c:pt>
                <c:pt idx="4">
                  <c:v>26–35</c:v>
                </c:pt>
                <c:pt idx="5">
                  <c:v>26–36</c:v>
                </c:pt>
                <c:pt idx="6">
                  <c:v>26–37</c:v>
                </c:pt>
                <c:pt idx="7">
                  <c:v>26–38</c:v>
                </c:pt>
                <c:pt idx="8">
                  <c:v>36–45</c:v>
                </c:pt>
                <c:pt idx="9">
                  <c:v>36–46</c:v>
                </c:pt>
                <c:pt idx="10">
                  <c:v>36–47</c:v>
                </c:pt>
                <c:pt idx="11">
                  <c:v>36–48</c:v>
                </c:pt>
                <c:pt idx="12">
                  <c:v>46+</c:v>
                </c:pt>
              </c:strCache>
            </c:strRef>
          </c:cat>
          <c:val>
            <c:numRef>
              <c:f>Sheet2!$C$6:$C$19</c:f>
              <c:numCache>
                <c:formatCode>General</c:formatCode>
                <c:ptCount val="13"/>
                <c:pt idx="0">
                  <c:v>10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2.2999999999999998</c:v>
                </c:pt>
                <c:pt idx="1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6-47C5-AA7E-95BC04058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16604623"/>
        <c:axId val="1654486591"/>
        <c:axId val="0"/>
      </c:bar3DChart>
      <c:catAx>
        <c:axId val="31660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486591"/>
        <c:crosses val="autoZero"/>
        <c:auto val="1"/>
        <c:lblAlgn val="ctr"/>
        <c:lblOffset val="100"/>
        <c:noMultiLvlLbl val="0"/>
      </c:catAx>
      <c:valAx>
        <c:axId val="165448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0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3</xdr:row>
      <xdr:rowOff>137160</xdr:rowOff>
    </xdr:from>
    <xdr:to>
      <xdr:col>7</xdr:col>
      <xdr:colOff>1173480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CAAD5-88B0-61AF-0D5C-73C397379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3</xdr:row>
      <xdr:rowOff>167640</xdr:rowOff>
    </xdr:from>
    <xdr:to>
      <xdr:col>12</xdr:col>
      <xdr:colOff>129540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9F1422-32B6-95E2-6C1A-9E7F0A8BC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8.523947222224" createdVersion="8" refreshedVersion="8" minRefreshableVersion="3" recordCount="20" xr:uid="{E4E32820-4955-458A-A028-02243EF92D63}">
  <cacheSource type="worksheet">
    <worksheetSource ref="D5:K25" sheet="Survey Data"/>
  </cacheSource>
  <cacheFields count="8">
    <cacheField name="ID" numFmtId="0">
      <sharedItems containsSemiMixedTypes="0" containsString="0" containsNumber="1" containsInteger="1" minValue="1" maxValue="20"/>
    </cacheField>
    <cacheField name="Age" numFmtId="0">
      <sharedItems count="13">
        <s v="18–25"/>
        <s v="26–35"/>
        <s v="36–45"/>
        <s v="46+"/>
        <s v="18–26"/>
        <s v="26–36"/>
        <s v="36–46"/>
        <s v="18–27"/>
        <s v="26–37"/>
        <s v="36–47"/>
        <s v="18–28"/>
        <s v="26–38"/>
        <s v="36–48"/>
      </sharedItems>
    </cacheField>
    <cacheField name="Gender" numFmtId="0">
      <sharedItems count="3">
        <s v="Male"/>
        <s v="Female"/>
        <s v="Other"/>
      </sharedItems>
    </cacheField>
    <cacheField name="City" numFmtId="0">
      <sharedItems count="2">
        <s v="Metro"/>
        <s v="Non-Metro"/>
      </sharedItems>
    </cacheField>
    <cacheField name="Awareness" numFmtId="0">
      <sharedItems/>
    </cacheField>
    <cacheField name="Frequency" numFmtId="0">
      <sharedItems/>
    </cacheField>
    <cacheField name="Rating" numFmtId="0">
      <sharedItems containsSemiMixedTypes="0" containsString="0" containsNumber="1" minValue="1" maxValue="5"/>
    </cacheField>
    <cacheField name="Recommend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x v="0"/>
    <x v="0"/>
    <x v="0"/>
    <s v="Yes"/>
    <s v="Frequent"/>
    <n v="5"/>
    <x v="0"/>
  </r>
  <r>
    <n v="2"/>
    <x v="1"/>
    <x v="1"/>
    <x v="0"/>
    <s v="Yes"/>
    <s v="Occasional"/>
    <n v="4"/>
    <x v="0"/>
  </r>
  <r>
    <n v="3"/>
    <x v="2"/>
    <x v="0"/>
    <x v="1"/>
    <s v="No"/>
    <s v="Rare"/>
    <n v="2"/>
    <x v="1"/>
  </r>
  <r>
    <n v="4"/>
    <x v="3"/>
    <x v="1"/>
    <x v="0"/>
    <s v="Yes"/>
    <s v="Rare"/>
    <n v="3"/>
    <x v="1"/>
  </r>
  <r>
    <n v="5"/>
    <x v="0"/>
    <x v="2"/>
    <x v="1"/>
    <s v="Yes"/>
    <s v="Frequent"/>
    <n v="5"/>
    <x v="0"/>
  </r>
  <r>
    <n v="6"/>
    <x v="4"/>
    <x v="0"/>
    <x v="0"/>
    <s v="Yes"/>
    <s v="Frequent"/>
    <n v="4"/>
    <x v="0"/>
  </r>
  <r>
    <n v="7"/>
    <x v="5"/>
    <x v="1"/>
    <x v="0"/>
    <s v="Yes"/>
    <s v="Occasional"/>
    <n v="1"/>
    <x v="0"/>
  </r>
  <r>
    <n v="8"/>
    <x v="6"/>
    <x v="0"/>
    <x v="1"/>
    <s v="No"/>
    <s v="Rare"/>
    <n v="1"/>
    <x v="1"/>
  </r>
  <r>
    <n v="9"/>
    <x v="3"/>
    <x v="1"/>
    <x v="0"/>
    <s v="Yes"/>
    <s v="Rare"/>
    <n v="5"/>
    <x v="1"/>
  </r>
  <r>
    <n v="10"/>
    <x v="4"/>
    <x v="2"/>
    <x v="1"/>
    <s v="Yes"/>
    <s v="Frequent"/>
    <n v="2"/>
    <x v="0"/>
  </r>
  <r>
    <n v="11"/>
    <x v="7"/>
    <x v="0"/>
    <x v="0"/>
    <s v="Yes"/>
    <s v="Frequent"/>
    <n v="4"/>
    <x v="0"/>
  </r>
  <r>
    <n v="12"/>
    <x v="8"/>
    <x v="1"/>
    <x v="0"/>
    <s v="Yes"/>
    <s v="Occasional"/>
    <n v="3"/>
    <x v="0"/>
  </r>
  <r>
    <n v="13"/>
    <x v="9"/>
    <x v="0"/>
    <x v="1"/>
    <s v="No"/>
    <s v="Rare"/>
    <n v="4"/>
    <x v="1"/>
  </r>
  <r>
    <n v="14"/>
    <x v="3"/>
    <x v="1"/>
    <x v="0"/>
    <s v="Yes"/>
    <s v="Rare"/>
    <n v="5"/>
    <x v="1"/>
  </r>
  <r>
    <n v="15"/>
    <x v="7"/>
    <x v="2"/>
    <x v="1"/>
    <s v="Yes"/>
    <s v="Frequent"/>
    <n v="2"/>
    <x v="0"/>
  </r>
  <r>
    <n v="16"/>
    <x v="10"/>
    <x v="0"/>
    <x v="0"/>
    <s v="Yes"/>
    <s v="Frequent"/>
    <n v="3"/>
    <x v="0"/>
  </r>
  <r>
    <n v="17"/>
    <x v="11"/>
    <x v="1"/>
    <x v="0"/>
    <s v="Yes"/>
    <s v="Occasional"/>
    <n v="4"/>
    <x v="0"/>
  </r>
  <r>
    <n v="18"/>
    <x v="12"/>
    <x v="0"/>
    <x v="1"/>
    <s v="No"/>
    <s v="Rare"/>
    <n v="2.2999999999999998"/>
    <x v="1"/>
  </r>
  <r>
    <n v="19"/>
    <x v="3"/>
    <x v="1"/>
    <x v="0"/>
    <s v="Yes"/>
    <s v="Rare"/>
    <n v="3"/>
    <x v="1"/>
  </r>
  <r>
    <n v="20"/>
    <x v="10"/>
    <x v="2"/>
    <x v="1"/>
    <s v="Yes"/>
    <s v="Frequent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700B4-9569-4E6A-865E-A8A8BE95701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B5:C19" firstHeaderRow="1" firstDataRow="1" firstDataCol="1"/>
  <pivotFields count="8">
    <pivotField showAll="0"/>
    <pivotField axis="axisRow" showAll="0">
      <items count="14">
        <item x="0"/>
        <item x="4"/>
        <item x="7"/>
        <item x="10"/>
        <item x="1"/>
        <item x="5"/>
        <item x="8"/>
        <item x="11"/>
        <item x="2"/>
        <item x="6"/>
        <item x="9"/>
        <item x="12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>
      <items count="3">
        <item x="1"/>
        <item x="0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ating" fld="6" baseField="0" baseItem="0"/>
  </dataFields>
  <chartFormats count="1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95C6-C3B2-463E-8A0C-1FFF76DFA9E8}">
  <dimension ref="B5:C19"/>
  <sheetViews>
    <sheetView tabSelected="1" workbookViewId="0">
      <selection activeCell="L25" sqref="L25"/>
    </sheetView>
  </sheetViews>
  <sheetFormatPr defaultRowHeight="14.4" x14ac:dyDescent="0.3"/>
  <cols>
    <col min="1" max="1" width="12.5546875" bestFit="1" customWidth="1"/>
    <col min="2" max="2" width="12.77734375" bestFit="1" customWidth="1"/>
    <col min="3" max="3" width="15" bestFit="1" customWidth="1"/>
    <col min="4" max="4" width="12.77734375" bestFit="1" customWidth="1"/>
    <col min="5" max="5" width="10.77734375" bestFit="1" customWidth="1"/>
    <col min="6" max="6" width="5.21875" bestFit="1" customWidth="1"/>
    <col min="7" max="7" width="5.77734375" bestFit="1" customWidth="1"/>
    <col min="8" max="8" width="19.6640625" bestFit="1" customWidth="1"/>
    <col min="9" max="9" width="5.21875" bestFit="1" customWidth="1"/>
    <col min="10" max="10" width="5.77734375" bestFit="1" customWidth="1"/>
    <col min="11" max="11" width="17.6640625" bestFit="1" customWidth="1"/>
    <col min="12" max="12" width="22.5546875" bestFit="1" customWidth="1"/>
    <col min="13" max="13" width="24.44140625" bestFit="1" customWidth="1"/>
    <col min="14" max="14" width="10.77734375" bestFit="1" customWidth="1"/>
  </cols>
  <sheetData>
    <row r="5" spans="2:3" x14ac:dyDescent="0.3">
      <c r="B5" s="7" t="s">
        <v>37</v>
      </c>
      <c r="C5" t="s">
        <v>38</v>
      </c>
    </row>
    <row r="6" spans="2:3" x14ac:dyDescent="0.3">
      <c r="B6" s="8" t="s">
        <v>8</v>
      </c>
      <c r="C6">
        <v>10</v>
      </c>
    </row>
    <row r="7" spans="2:3" x14ac:dyDescent="0.3">
      <c r="B7" s="8" t="s">
        <v>22</v>
      </c>
      <c r="C7">
        <v>6</v>
      </c>
    </row>
    <row r="8" spans="2:3" x14ac:dyDescent="0.3">
      <c r="B8" s="8" t="s">
        <v>25</v>
      </c>
      <c r="C8">
        <v>6</v>
      </c>
    </row>
    <row r="9" spans="2:3" x14ac:dyDescent="0.3">
      <c r="B9" s="8" t="s">
        <v>28</v>
      </c>
      <c r="C9">
        <v>4</v>
      </c>
    </row>
    <row r="10" spans="2:3" x14ac:dyDescent="0.3">
      <c r="B10" s="8" t="s">
        <v>13</v>
      </c>
      <c r="C10">
        <v>4</v>
      </c>
    </row>
    <row r="11" spans="2:3" x14ac:dyDescent="0.3">
      <c r="B11" s="8" t="s">
        <v>23</v>
      </c>
      <c r="C11">
        <v>1</v>
      </c>
    </row>
    <row r="12" spans="2:3" x14ac:dyDescent="0.3">
      <c r="B12" s="8" t="s">
        <v>26</v>
      </c>
      <c r="C12">
        <v>3</v>
      </c>
    </row>
    <row r="13" spans="2:3" x14ac:dyDescent="0.3">
      <c r="B13" s="8" t="s">
        <v>29</v>
      </c>
      <c r="C13">
        <v>4</v>
      </c>
    </row>
    <row r="14" spans="2:3" x14ac:dyDescent="0.3">
      <c r="B14" s="8" t="s">
        <v>16</v>
      </c>
      <c r="C14">
        <v>2</v>
      </c>
    </row>
    <row r="15" spans="2:3" x14ac:dyDescent="0.3">
      <c r="B15" s="8" t="s">
        <v>24</v>
      </c>
      <c r="C15">
        <v>1</v>
      </c>
    </row>
    <row r="16" spans="2:3" x14ac:dyDescent="0.3">
      <c r="B16" s="8" t="s">
        <v>27</v>
      </c>
      <c r="C16">
        <v>4</v>
      </c>
    </row>
    <row r="17" spans="2:3" x14ac:dyDescent="0.3">
      <c r="B17" s="8" t="s">
        <v>30</v>
      </c>
      <c r="C17">
        <v>2.2999999999999998</v>
      </c>
    </row>
    <row r="18" spans="2:3" x14ac:dyDescent="0.3">
      <c r="B18" s="8" t="s">
        <v>20</v>
      </c>
      <c r="C18">
        <v>16</v>
      </c>
    </row>
    <row r="19" spans="2:3" x14ac:dyDescent="0.3">
      <c r="B19" s="8" t="s">
        <v>36</v>
      </c>
      <c r="C19">
        <v>63.3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7693-2AE4-4478-BE73-D55F8A9BAB26}">
  <dimension ref="D4:S26"/>
  <sheetViews>
    <sheetView topLeftCell="A7" workbookViewId="0">
      <selection activeCell="G7" sqref="G7"/>
    </sheetView>
  </sheetViews>
  <sheetFormatPr defaultRowHeight="14.4" x14ac:dyDescent="0.3"/>
  <cols>
    <col min="14" max="14" width="20.33203125" customWidth="1"/>
    <col min="15" max="15" width="17.21875" customWidth="1"/>
    <col min="16" max="16" width="17.44140625" customWidth="1"/>
  </cols>
  <sheetData>
    <row r="4" spans="4:19" ht="15" thickBot="1" x14ac:dyDescent="0.35"/>
    <row r="5" spans="4:19" ht="30" customHeight="1" thickTop="1" thickBot="1" x14ac:dyDescent="0.35"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  <c r="N5" s="9" t="s">
        <v>31</v>
      </c>
      <c r="O5" s="10"/>
    </row>
    <row r="6" spans="4:19" ht="15.6" thickTop="1" thickBot="1" x14ac:dyDescent="0.35">
      <c r="D6" s="13">
        <v>1</v>
      </c>
      <c r="E6" s="13" t="s">
        <v>8</v>
      </c>
      <c r="F6" s="13" t="s">
        <v>9</v>
      </c>
      <c r="G6" s="13" t="s">
        <v>10</v>
      </c>
      <c r="H6" s="13" t="s">
        <v>11</v>
      </c>
      <c r="I6" s="13" t="s">
        <v>12</v>
      </c>
      <c r="J6" s="13">
        <v>5</v>
      </c>
      <c r="K6" s="13" t="s">
        <v>11</v>
      </c>
      <c r="N6" s="11"/>
      <c r="O6" s="12"/>
    </row>
    <row r="7" spans="4:19" ht="44.4" thickTop="1" thickBot="1" x14ac:dyDescent="0.35">
      <c r="D7" s="13">
        <v>2</v>
      </c>
      <c r="E7" s="13" t="s">
        <v>13</v>
      </c>
      <c r="F7" s="13" t="s">
        <v>14</v>
      </c>
      <c r="G7" s="13" t="s">
        <v>10</v>
      </c>
      <c r="H7" s="13" t="s">
        <v>11</v>
      </c>
      <c r="I7" s="13" t="s">
        <v>15</v>
      </c>
      <c r="J7" s="13">
        <v>4</v>
      </c>
      <c r="K7" s="13" t="s">
        <v>11</v>
      </c>
      <c r="N7" s="5" t="s">
        <v>32</v>
      </c>
      <c r="O7" s="6">
        <f>COUNTIF(H6:H25,"Yes")/COUNT(D6:D25)</f>
        <v>0.8</v>
      </c>
    </row>
    <row r="8" spans="4:19" ht="30" thickTop="1" thickBot="1" x14ac:dyDescent="0.35">
      <c r="D8" s="13">
        <v>3</v>
      </c>
      <c r="E8" s="13" t="s">
        <v>16</v>
      </c>
      <c r="F8" s="13" t="s">
        <v>9</v>
      </c>
      <c r="G8" s="13" t="s">
        <v>17</v>
      </c>
      <c r="H8" s="13" t="s">
        <v>18</v>
      </c>
      <c r="I8" s="13" t="s">
        <v>19</v>
      </c>
      <c r="J8" s="13">
        <v>2</v>
      </c>
      <c r="K8" s="13" t="s">
        <v>18</v>
      </c>
      <c r="N8" s="3" t="s">
        <v>33</v>
      </c>
      <c r="O8" s="4">
        <f>COUNTIF(J6:J25,"&gt;=4")/COUNT(D6:D25)</f>
        <v>0.45</v>
      </c>
    </row>
    <row r="9" spans="4:19" ht="30" thickTop="1" thickBot="1" x14ac:dyDescent="0.35">
      <c r="D9" s="13">
        <v>4</v>
      </c>
      <c r="E9" s="13" t="s">
        <v>20</v>
      </c>
      <c r="F9" s="13" t="s">
        <v>14</v>
      </c>
      <c r="G9" s="13" t="s">
        <v>10</v>
      </c>
      <c r="H9" s="13" t="s">
        <v>11</v>
      </c>
      <c r="I9" s="13" t="s">
        <v>19</v>
      </c>
      <c r="J9" s="13">
        <v>3</v>
      </c>
      <c r="K9" s="13" t="s">
        <v>18</v>
      </c>
      <c r="N9" s="3" t="s">
        <v>34</v>
      </c>
      <c r="O9" s="4">
        <f>COUNTIF(K6:K25,"Yes")/COUNTA(D6:D25)</f>
        <v>0.6</v>
      </c>
    </row>
    <row r="10" spans="4:19" ht="30" thickTop="1" thickBot="1" x14ac:dyDescent="0.35">
      <c r="D10" s="13">
        <v>5</v>
      </c>
      <c r="E10" s="13" t="s">
        <v>8</v>
      </c>
      <c r="F10" s="13" t="s">
        <v>21</v>
      </c>
      <c r="G10" s="13" t="s">
        <v>17</v>
      </c>
      <c r="H10" s="13" t="s">
        <v>11</v>
      </c>
      <c r="I10" s="13" t="s">
        <v>12</v>
      </c>
      <c r="J10" s="13">
        <v>5</v>
      </c>
      <c r="K10" s="13" t="s">
        <v>11</v>
      </c>
      <c r="N10" s="3" t="s">
        <v>35</v>
      </c>
      <c r="O10" s="4">
        <f>COUNTIF(I6:I25,"Frequent")</f>
        <v>8</v>
      </c>
      <c r="S10" s="2"/>
    </row>
    <row r="11" spans="4:19" ht="15.6" thickTop="1" thickBot="1" x14ac:dyDescent="0.35">
      <c r="D11" s="13">
        <v>6</v>
      </c>
      <c r="E11" s="13" t="s">
        <v>22</v>
      </c>
      <c r="F11" s="13" t="s">
        <v>9</v>
      </c>
      <c r="G11" s="13" t="s">
        <v>10</v>
      </c>
      <c r="H11" s="13" t="s">
        <v>11</v>
      </c>
      <c r="I11" s="13" t="s">
        <v>12</v>
      </c>
      <c r="J11" s="13">
        <v>4</v>
      </c>
      <c r="K11" s="13" t="s">
        <v>11</v>
      </c>
    </row>
    <row r="12" spans="4:19" ht="30" thickTop="1" thickBot="1" x14ac:dyDescent="0.35">
      <c r="D12" s="13">
        <v>7</v>
      </c>
      <c r="E12" s="13" t="s">
        <v>23</v>
      </c>
      <c r="F12" s="13" t="s">
        <v>14</v>
      </c>
      <c r="G12" s="13" t="s">
        <v>10</v>
      </c>
      <c r="H12" s="13" t="s">
        <v>11</v>
      </c>
      <c r="I12" s="13" t="s">
        <v>15</v>
      </c>
      <c r="J12" s="13">
        <v>1</v>
      </c>
      <c r="K12" s="13" t="s">
        <v>11</v>
      </c>
    </row>
    <row r="13" spans="4:19" ht="30" thickTop="1" thickBot="1" x14ac:dyDescent="0.35">
      <c r="D13" s="13">
        <v>8</v>
      </c>
      <c r="E13" s="13" t="s">
        <v>24</v>
      </c>
      <c r="F13" s="13" t="s">
        <v>9</v>
      </c>
      <c r="G13" s="13" t="s">
        <v>17</v>
      </c>
      <c r="H13" s="13" t="s">
        <v>18</v>
      </c>
      <c r="I13" s="13" t="s">
        <v>19</v>
      </c>
      <c r="J13" s="13">
        <v>1</v>
      </c>
      <c r="K13" s="13" t="s">
        <v>18</v>
      </c>
    </row>
    <row r="14" spans="4:19" ht="15.6" thickTop="1" thickBot="1" x14ac:dyDescent="0.35">
      <c r="D14" s="13">
        <v>9</v>
      </c>
      <c r="E14" s="13" t="s">
        <v>20</v>
      </c>
      <c r="F14" s="13" t="s">
        <v>14</v>
      </c>
      <c r="G14" s="13" t="s">
        <v>10</v>
      </c>
      <c r="H14" s="13" t="s">
        <v>11</v>
      </c>
      <c r="I14" s="13" t="s">
        <v>19</v>
      </c>
      <c r="J14" s="13">
        <v>5</v>
      </c>
      <c r="K14" s="13" t="s">
        <v>18</v>
      </c>
    </row>
    <row r="15" spans="4:19" ht="30" thickTop="1" thickBot="1" x14ac:dyDescent="0.35">
      <c r="D15" s="13">
        <v>10</v>
      </c>
      <c r="E15" s="13" t="s">
        <v>22</v>
      </c>
      <c r="F15" s="13" t="s">
        <v>21</v>
      </c>
      <c r="G15" s="13" t="s">
        <v>17</v>
      </c>
      <c r="H15" s="13" t="s">
        <v>11</v>
      </c>
      <c r="I15" s="13" t="s">
        <v>12</v>
      </c>
      <c r="J15" s="13">
        <v>2</v>
      </c>
      <c r="K15" s="13" t="s">
        <v>11</v>
      </c>
    </row>
    <row r="16" spans="4:19" ht="15.6" thickTop="1" thickBot="1" x14ac:dyDescent="0.35">
      <c r="D16" s="13">
        <v>11</v>
      </c>
      <c r="E16" s="13" t="s">
        <v>25</v>
      </c>
      <c r="F16" s="13" t="s">
        <v>9</v>
      </c>
      <c r="G16" s="13" t="s">
        <v>10</v>
      </c>
      <c r="H16" s="13" t="s">
        <v>11</v>
      </c>
      <c r="I16" s="13" t="s">
        <v>12</v>
      </c>
      <c r="J16" s="13">
        <v>4</v>
      </c>
      <c r="K16" s="13" t="s">
        <v>11</v>
      </c>
    </row>
    <row r="17" spans="4:11" ht="30" thickTop="1" thickBot="1" x14ac:dyDescent="0.35">
      <c r="D17" s="13">
        <v>12</v>
      </c>
      <c r="E17" s="13" t="s">
        <v>26</v>
      </c>
      <c r="F17" s="13" t="s">
        <v>14</v>
      </c>
      <c r="G17" s="13" t="s">
        <v>10</v>
      </c>
      <c r="H17" s="13" t="s">
        <v>11</v>
      </c>
      <c r="I17" s="13" t="s">
        <v>15</v>
      </c>
      <c r="J17" s="13">
        <v>3</v>
      </c>
      <c r="K17" s="13" t="s">
        <v>11</v>
      </c>
    </row>
    <row r="18" spans="4:11" ht="30" thickTop="1" thickBot="1" x14ac:dyDescent="0.35">
      <c r="D18" s="13">
        <v>13</v>
      </c>
      <c r="E18" s="13" t="s">
        <v>27</v>
      </c>
      <c r="F18" s="13" t="s">
        <v>9</v>
      </c>
      <c r="G18" s="13" t="s">
        <v>17</v>
      </c>
      <c r="H18" s="13" t="s">
        <v>18</v>
      </c>
      <c r="I18" s="13" t="s">
        <v>19</v>
      </c>
      <c r="J18" s="13">
        <v>4</v>
      </c>
      <c r="K18" s="13" t="s">
        <v>18</v>
      </c>
    </row>
    <row r="19" spans="4:11" ht="15.6" thickTop="1" thickBot="1" x14ac:dyDescent="0.35">
      <c r="D19" s="13">
        <v>14</v>
      </c>
      <c r="E19" s="13" t="s">
        <v>20</v>
      </c>
      <c r="F19" s="13" t="s">
        <v>14</v>
      </c>
      <c r="G19" s="13" t="s">
        <v>10</v>
      </c>
      <c r="H19" s="13" t="s">
        <v>11</v>
      </c>
      <c r="I19" s="13" t="s">
        <v>19</v>
      </c>
      <c r="J19" s="13">
        <v>5</v>
      </c>
      <c r="K19" s="13" t="s">
        <v>18</v>
      </c>
    </row>
    <row r="20" spans="4:11" ht="30" thickTop="1" thickBot="1" x14ac:dyDescent="0.35">
      <c r="D20" s="13">
        <v>15</v>
      </c>
      <c r="E20" s="13" t="s">
        <v>25</v>
      </c>
      <c r="F20" s="13" t="s">
        <v>21</v>
      </c>
      <c r="G20" s="13" t="s">
        <v>17</v>
      </c>
      <c r="H20" s="13" t="s">
        <v>11</v>
      </c>
      <c r="I20" s="13" t="s">
        <v>12</v>
      </c>
      <c r="J20" s="13">
        <v>2</v>
      </c>
      <c r="K20" s="13" t="s">
        <v>11</v>
      </c>
    </row>
    <row r="21" spans="4:11" ht="15.6" thickTop="1" thickBot="1" x14ac:dyDescent="0.35">
      <c r="D21" s="13">
        <v>16</v>
      </c>
      <c r="E21" s="13" t="s">
        <v>28</v>
      </c>
      <c r="F21" s="13" t="s">
        <v>9</v>
      </c>
      <c r="G21" s="13" t="s">
        <v>10</v>
      </c>
      <c r="H21" s="13" t="s">
        <v>11</v>
      </c>
      <c r="I21" s="13" t="s">
        <v>12</v>
      </c>
      <c r="J21" s="13">
        <v>3</v>
      </c>
      <c r="K21" s="13" t="s">
        <v>11</v>
      </c>
    </row>
    <row r="22" spans="4:11" ht="30" thickTop="1" thickBot="1" x14ac:dyDescent="0.35">
      <c r="D22" s="13">
        <v>17</v>
      </c>
      <c r="E22" s="13" t="s">
        <v>29</v>
      </c>
      <c r="F22" s="13" t="s">
        <v>14</v>
      </c>
      <c r="G22" s="13" t="s">
        <v>10</v>
      </c>
      <c r="H22" s="13" t="s">
        <v>11</v>
      </c>
      <c r="I22" s="13" t="s">
        <v>15</v>
      </c>
      <c r="J22" s="13">
        <v>4</v>
      </c>
      <c r="K22" s="13" t="s">
        <v>11</v>
      </c>
    </row>
    <row r="23" spans="4:11" ht="30" thickTop="1" thickBot="1" x14ac:dyDescent="0.35">
      <c r="D23" s="13">
        <v>18</v>
      </c>
      <c r="E23" s="13" t="s">
        <v>30</v>
      </c>
      <c r="F23" s="13" t="s">
        <v>9</v>
      </c>
      <c r="G23" s="13" t="s">
        <v>17</v>
      </c>
      <c r="H23" s="13" t="s">
        <v>18</v>
      </c>
      <c r="I23" s="13" t="s">
        <v>19</v>
      </c>
      <c r="J23" s="14">
        <v>2.2999999999999998</v>
      </c>
      <c r="K23" s="13" t="s">
        <v>18</v>
      </c>
    </row>
    <row r="24" spans="4:11" ht="15.6" thickTop="1" thickBot="1" x14ac:dyDescent="0.35">
      <c r="D24" s="13">
        <v>19</v>
      </c>
      <c r="E24" s="13" t="s">
        <v>20</v>
      </c>
      <c r="F24" s="13" t="s">
        <v>14</v>
      </c>
      <c r="G24" s="13" t="s">
        <v>10</v>
      </c>
      <c r="H24" s="13" t="s">
        <v>11</v>
      </c>
      <c r="I24" s="13" t="s">
        <v>19</v>
      </c>
      <c r="J24" s="13">
        <v>3</v>
      </c>
      <c r="K24" s="13" t="s">
        <v>18</v>
      </c>
    </row>
    <row r="25" spans="4:11" ht="30" thickTop="1" thickBot="1" x14ac:dyDescent="0.35">
      <c r="D25" s="13">
        <v>20</v>
      </c>
      <c r="E25" s="13" t="s">
        <v>28</v>
      </c>
      <c r="F25" s="13" t="s">
        <v>21</v>
      </c>
      <c r="G25" s="13" t="s">
        <v>17</v>
      </c>
      <c r="H25" s="13" t="s">
        <v>11</v>
      </c>
      <c r="I25" s="13" t="s">
        <v>12</v>
      </c>
      <c r="J25" s="13">
        <v>1</v>
      </c>
      <c r="K25" s="13" t="s">
        <v>11</v>
      </c>
    </row>
    <row r="26" spans="4:11" ht="15" thickTop="1" x14ac:dyDescent="0.3"/>
  </sheetData>
  <mergeCells count="1">
    <mergeCell ref="N5:O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Survey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Vighne</dc:creator>
  <cp:lastModifiedBy>Sumit Vighne</cp:lastModifiedBy>
  <dcterms:created xsi:type="dcterms:W3CDTF">2026-02-15T06:42:49Z</dcterms:created>
  <dcterms:modified xsi:type="dcterms:W3CDTF">2026-02-16T17:15:12Z</dcterms:modified>
</cp:coreProperties>
</file>
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Screenshots\Assignment\"/>
    </mc:Choice>
  </mc:AlternateContent>
  <xr:revisionPtr revIDLastSave="0" documentId="13_ncr:1_{A5C86272-973B-45A1-9180-96FDF14882BE}" xr6:coauthVersionLast="47" xr6:coauthVersionMax="47" xr10:uidLastSave="{00000000-0000-0000-0000-000000000000}"/>
  <bookViews>
    <workbookView xWindow="-108" yWindow="-108" windowWidth="23256" windowHeight="12456" xr2:uid="{119C2EF6-85A8-47F4-B8F5-081EC0F03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9" i="1" l="1"/>
  <c r="P7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J19" i="1"/>
  <c r="K19" i="1" s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K18" i="1" s="1"/>
  <c r="J5" i="1"/>
  <c r="K5" i="1" s="1"/>
  <c r="P5" i="1" l="1"/>
</calcChain>
</file>

<file path=xl/sharedStrings.xml><?xml version="1.0" encoding="utf-8"?>
<sst xmlns="http://schemas.openxmlformats.org/spreadsheetml/2006/main" count="45" uniqueCount="34">
  <si>
    <t>ID</t>
  </si>
  <si>
    <t>Product</t>
  </si>
  <si>
    <t>Category</t>
  </si>
  <si>
    <t>Opening</t>
  </si>
  <si>
    <t>Sold</t>
  </si>
  <si>
    <t>Cost</t>
  </si>
  <si>
    <t>Reorder</t>
  </si>
  <si>
    <t>Rice</t>
  </si>
  <si>
    <t>Grocery</t>
  </si>
  <si>
    <t>Wheat</t>
  </si>
  <si>
    <t>Milk</t>
  </si>
  <si>
    <t>Dairy</t>
  </si>
  <si>
    <t>Cheese</t>
  </si>
  <si>
    <t>Soap</t>
  </si>
  <si>
    <t>Personal Care</t>
  </si>
  <si>
    <t>Shampoo</t>
  </si>
  <si>
    <t>Oil</t>
  </si>
  <si>
    <t>Butter</t>
  </si>
  <si>
    <t>Toothpaste</t>
  </si>
  <si>
    <t>Biscuits</t>
  </si>
  <si>
    <t>Detergent</t>
  </si>
  <si>
    <t>Home Care</t>
  </si>
  <si>
    <t>Floor Cleaner</t>
  </si>
  <si>
    <t>Sugar</t>
  </si>
  <si>
    <t>Curd</t>
  </si>
  <si>
    <t>Face Wash</t>
  </si>
  <si>
    <t>Closing Stock</t>
  </si>
  <si>
    <t>Inventory Value</t>
  </si>
  <si>
    <t>Stock Status (Reorder Required / Sufficient using IF())</t>
  </si>
  <si>
    <t>Inventory Metrics</t>
  </si>
  <si>
    <t>Total Inventory Value</t>
  </si>
  <si>
    <t>Average Stock Level</t>
  </si>
  <si>
    <t>Number of Items Below Reorder Level</t>
  </si>
  <si>
    <t>Warehouse Inventory Optimization – SmartStore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</si>
</sst>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1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Stock vs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Sheet1!$G$5:$G$19</c:f>
              <c:numCache>
                <c:formatCode>General</c:formatCode>
                <c:ptCount val="15"/>
                <c:pt idx="0">
                  <c:v>300</c:v>
                </c:pt>
                <c:pt idx="1">
                  <c:v>250</c:v>
                </c:pt>
                <c:pt idx="2">
                  <c:v>280</c:v>
                </c:pt>
                <c:pt idx="3">
                  <c:v>120</c:v>
                </c:pt>
                <c:pt idx="4">
                  <c:v>200</c:v>
                </c:pt>
                <c:pt idx="5">
                  <c:v>150</c:v>
                </c:pt>
                <c:pt idx="6">
                  <c:v>300</c:v>
                </c:pt>
                <c:pt idx="7">
                  <c:v>180</c:v>
                </c:pt>
                <c:pt idx="8">
                  <c:v>190</c:v>
                </c:pt>
                <c:pt idx="9">
                  <c:v>240</c:v>
                </c:pt>
                <c:pt idx="10">
                  <c:v>160</c:v>
                </c:pt>
                <c:pt idx="11">
                  <c:v>110</c:v>
                </c:pt>
                <c:pt idx="12">
                  <c:v>320</c:v>
                </c:pt>
                <c:pt idx="13">
                  <c:v>210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F-45BB-B96A-BEA97CACB037}"/>
            </c:ext>
          </c:extLst>
        </c:ser>
        <c:ser>
          <c:idx val="1"/>
          <c:order val="1"/>
          <c:tx>
            <c:strRef>
              <c:f>Sheet1!$J$4</c:f>
              <c:strCache>
                <c:ptCount val="1"/>
                <c:pt idx="0">
                  <c:v>Closing Stock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Sheet1!$J$5:$J$19</c:f>
              <c:numCache>
                <c:formatCode>General</c:formatCode>
                <c:ptCount val="15"/>
                <c:pt idx="0">
                  <c:v>200</c:v>
                </c:pt>
                <c:pt idx="1">
                  <c:v>150</c:v>
                </c:pt>
                <c:pt idx="2">
                  <c:v>20</c:v>
                </c:pt>
                <c:pt idx="3">
                  <c:v>80</c:v>
                </c:pt>
                <c:pt idx="4">
                  <c:v>150</c:v>
                </c:pt>
                <c:pt idx="5">
                  <c:v>100</c:v>
                </c:pt>
                <c:pt idx="6">
                  <c:v>150</c:v>
                </c:pt>
                <c:pt idx="7">
                  <c:v>40</c:v>
                </c:pt>
                <c:pt idx="8">
                  <c:v>110</c:v>
                </c:pt>
                <c:pt idx="9">
                  <c:v>140</c:v>
                </c:pt>
                <c:pt idx="10">
                  <c:v>110</c:v>
                </c:pt>
                <c:pt idx="11">
                  <c:v>90</c:v>
                </c:pt>
                <c:pt idx="12">
                  <c:v>180</c:v>
                </c:pt>
                <c:pt idx="13">
                  <c:v>50</c:v>
                </c:pt>
                <c:pt idx="1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F-45BB-B96A-BEA97CACB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2209856"/>
        <c:axId val="952210816"/>
        <c:axId val="0"/>
      </c:bar3DChart>
      <c:catAx>
        <c:axId val="9522098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10816"/>
        <c:crosses val="autoZero"/>
        <c:auto val="1"/>
        <c:lblAlgn val="ctr"/>
        <c:lblOffset val="100"/>
        <c:noMultiLvlLbl val="0"/>
      </c:catAx>
      <c:valAx>
        <c:axId val="95221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20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Inventory Value by Category</a:t>
            </a:r>
            <a:endParaRPr lang="en-US"/>
          </a:p>
        </c:rich>
      </c:tx>
      <c:layout>
        <c:manualLayout>
          <c:xMode val="edge"/>
          <c:yMode val="edge"/>
          <c:x val="0.27645569153253435"/>
          <c:y val="2.00803212851405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Sheet1!$K$4</c:f>
              <c:strCache>
                <c:ptCount val="1"/>
                <c:pt idx="0">
                  <c:v>Inventory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4BD0-4AA6-B61F-B7182F16E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4BD0-4AA6-B61F-B7182F16E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4BD0-4AA6-B61F-B7182F16EE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4BD0-4AA6-B61F-B7182F16EE6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4BD0-4AA6-B61F-B7182F16EE6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4BD0-4AA6-B61F-B7182F16EE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4BD0-4AA6-B61F-B7182F16EE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4BD0-4AA6-B61F-B7182F16EE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4BD0-4AA6-B61F-B7182F16EE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4BD0-4AA6-B61F-B7182F16EE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4BD0-4AA6-B61F-B7182F16EE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4BD0-4AA6-B61F-B7182F16EE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4BD0-4AA6-B61F-B7182F16EE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4BD0-4AA6-B61F-B7182F16EE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4BD0-4AA6-B61F-B7182F16EE66}"/>
              </c:ext>
            </c:extLst>
          </c:dPt>
          <c:dLbls>
            <c:dLbl>
              <c:idx val="0"/>
              <c:layout>
                <c:manualLayout>
                  <c:x val="-9.124371501755052E-2"/>
                  <c:y val="-9.5215507700091712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BD0-4AA6-B61F-B7182F16EE66}"/>
                </c:ext>
              </c:extLst>
            </c:dLbl>
            <c:dLbl>
              <c:idx val="1"/>
              <c:layout>
                <c:manualLayout>
                  <c:x val="-5.6409100970812386E-2"/>
                  <c:y val="-2.559634864918990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BD0-4AA6-B61F-B7182F16EE66}"/>
                </c:ext>
              </c:extLst>
            </c:dLbl>
            <c:dLbl>
              <c:idx val="2"/>
              <c:layout>
                <c:manualLayout>
                  <c:x val="1.3840137452697993E-2"/>
                  <c:y val="-4.708914397748473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BD0-4AA6-B61F-B7182F16EE66}"/>
                </c:ext>
              </c:extLst>
            </c:dLbl>
            <c:dLbl>
              <c:idx val="3"/>
              <c:layout>
                <c:manualLayout>
                  <c:x val="6.5116898038347609E-2"/>
                  <c:y val="-5.703865330086754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BD0-4AA6-B61F-B7182F16EE66}"/>
                </c:ext>
              </c:extLst>
            </c:dLbl>
            <c:dLbl>
              <c:idx val="4"/>
              <c:layout>
                <c:manualLayout>
                  <c:x val="3.2220219460519242E-2"/>
                  <c:y val="5.5104934172385017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BD0-4AA6-B61F-B7182F16EE66}"/>
                </c:ext>
              </c:extLst>
            </c:dLbl>
            <c:dLbl>
              <c:idx val="5"/>
              <c:layout>
                <c:manualLayout>
                  <c:x val="8.0395334619317166E-2"/>
                  <c:y val="1.828574139075989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BD0-4AA6-B61F-B7182F16EE66}"/>
                </c:ext>
              </c:extLst>
            </c:dLbl>
            <c:dLbl>
              <c:idx val="6"/>
              <c:layout>
                <c:manualLayout>
                  <c:x val="4.8875554712287467E-2"/>
                  <c:y val="-0.1464972751899988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BD0-4AA6-B61F-B7182F16EE66}"/>
                </c:ext>
              </c:extLst>
            </c:dLbl>
            <c:dLbl>
              <c:idx val="7"/>
              <c:layout>
                <c:manualLayout>
                  <c:x val="6.3994297399571923E-2"/>
                  <c:y val="-7.4476383223181439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BD0-4AA6-B61F-B7182F16EE66}"/>
                </c:ext>
              </c:extLst>
            </c:dLbl>
            <c:dLbl>
              <c:idx val="8"/>
              <c:layout>
                <c:manualLayout>
                  <c:x val="2.4662956287090005E-3"/>
                  <c:y val="-7.541978939379565E-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BD0-4AA6-B61F-B7182F16EE66}"/>
                </c:ext>
              </c:extLst>
            </c:dLbl>
            <c:dLbl>
              <c:idx val="9"/>
              <c:layout>
                <c:manualLayout>
                  <c:x val="-5.7588358684080181E-2"/>
                  <c:y val="-1.5073417027703086E-4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BD0-4AA6-B61F-B7182F16EE66}"/>
                </c:ext>
              </c:extLst>
            </c:dLbl>
            <c:dLbl>
              <c:idx val="10"/>
              <c:layout>
                <c:manualLayout>
                  <c:x val="-8.0459633810833917E-2"/>
                  <c:y val="-5.848907440786781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BD0-4AA6-B61F-B7182F16EE66}"/>
                </c:ext>
              </c:extLst>
            </c:dLbl>
            <c:dLbl>
              <c:idx val="11"/>
              <c:layout>
                <c:manualLayout>
                  <c:x val="-4.9291654808209214E-3"/>
                  <c:y val="6.5878738049310104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BD0-4AA6-B61F-B7182F16EE66}"/>
                </c:ext>
              </c:extLst>
            </c:dLbl>
            <c:dLbl>
              <c:idx val="12"/>
              <c:layout>
                <c:manualLayout>
                  <c:x val="-9.9388103595484278E-2"/>
                  <c:y val="2.509249596812446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BD0-4AA6-B61F-B7182F16EE66}"/>
                </c:ext>
              </c:extLst>
            </c:dLbl>
            <c:dLbl>
              <c:idx val="13"/>
              <c:layout>
                <c:manualLayout>
                  <c:x val="-0.20087778937271394"/>
                  <c:y val="-7.4995520138295996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BD0-4AA6-B61F-B7182F16EE66}"/>
                </c:ext>
              </c:extLst>
            </c:dLbl>
            <c:dLbl>
              <c:idx val="14"/>
              <c:layout>
                <c:manualLayout>
                  <c:x val="-0.20825032413117034"/>
                  <c:y val="-0.1525666972351347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BD0-4AA6-B61F-B7182F16EE66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Sheet1!$E$5:$E$19</c:f>
              <c:strCache>
                <c:ptCount val="15"/>
                <c:pt idx="0">
                  <c:v>Grocery</c:v>
                </c:pt>
                <c:pt idx="1">
                  <c:v>Grocery</c:v>
                </c:pt>
                <c:pt idx="2">
                  <c:v>Dairy</c:v>
                </c:pt>
                <c:pt idx="3">
                  <c:v>Dairy</c:v>
                </c:pt>
                <c:pt idx="4">
                  <c:v>Personal Care</c:v>
                </c:pt>
                <c:pt idx="5">
                  <c:v>Personal Care</c:v>
                </c:pt>
                <c:pt idx="6">
                  <c:v>Grocery</c:v>
                </c:pt>
                <c:pt idx="7">
                  <c:v>Dairy</c:v>
                </c:pt>
                <c:pt idx="8">
                  <c:v>Personal Care</c:v>
                </c:pt>
                <c:pt idx="9">
                  <c:v>Grocery</c:v>
                </c:pt>
                <c:pt idx="10">
                  <c:v>Home Care</c:v>
                </c:pt>
                <c:pt idx="11">
                  <c:v>Home Care</c:v>
                </c:pt>
                <c:pt idx="12">
                  <c:v>Grocery</c:v>
                </c:pt>
                <c:pt idx="13">
                  <c:v>Dairy</c:v>
                </c:pt>
                <c:pt idx="14">
                  <c:v>Personal Care</c:v>
                </c:pt>
              </c:strCache>
            </c:strRef>
          </c:cat>
          <c:val>
            <c:numRef>
              <c:f>Sheet1!$K$5:$K$19</c:f>
              <c:numCache>
                <c:formatCode>General</c:formatCode>
                <c:ptCount val="15"/>
                <c:pt idx="0">
                  <c:v>8000</c:v>
                </c:pt>
                <c:pt idx="1">
                  <c:v>5250</c:v>
                </c:pt>
                <c:pt idx="2">
                  <c:v>500</c:v>
                </c:pt>
                <c:pt idx="3">
                  <c:v>6400</c:v>
                </c:pt>
                <c:pt idx="4">
                  <c:v>4500</c:v>
                </c:pt>
                <c:pt idx="5">
                  <c:v>12000</c:v>
                </c:pt>
                <c:pt idx="6">
                  <c:v>16500</c:v>
                </c:pt>
                <c:pt idx="7">
                  <c:v>3600</c:v>
                </c:pt>
                <c:pt idx="8">
                  <c:v>6600</c:v>
                </c:pt>
                <c:pt idx="9">
                  <c:v>2800</c:v>
                </c:pt>
                <c:pt idx="10">
                  <c:v>16500</c:v>
                </c:pt>
                <c:pt idx="11">
                  <c:v>12600</c:v>
                </c:pt>
                <c:pt idx="12">
                  <c:v>8100</c:v>
                </c:pt>
                <c:pt idx="13">
                  <c:v>1500</c:v>
                </c:pt>
                <c:pt idx="14">
                  <c:v>10400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0-4AA6-B61F-B7182F16EE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</xdr:colOff>
      <xdr:row>2</xdr:row>
      <xdr:rowOff>22860</xdr:rowOff>
    </xdr:from>
    <xdr:to>
      <xdr:col>22</xdr:col>
      <xdr:colOff>53340</xdr:colOff>
      <xdr:row>11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D7E2AA-246C-B492-AB22-DF1CB08C52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304800</xdr:colOff>
      <xdr:row>11</xdr:row>
      <xdr:rowOff>121920</xdr:rowOff>
    </xdr:from>
    <xdr:to>
      <xdr:col>18</xdr:col>
      <xdr:colOff>53340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2BB64D-5CF1-4273-7F75-814D9E632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112C-872C-4033-AE51-DBF96D03C92F}">
  <dimension ref="C1:P20"/>
  <sheetViews>
    <sheetView tabSelected="1" workbookViewId="0">
      <selection activeCell="U15" sqref="U15"/>
    </sheetView>
  </sheetViews>
  <sheetFormatPr defaultRowHeight="14.4" x14ac:dyDescent="0.3"/>
  <cols>
    <col min="3" max="3" width="5" bestFit="1" customWidth="1"/>
    <col min="4" max="4" width="11.88671875" bestFit="1" customWidth="1"/>
    <col min="5" max="5" width="12.21875" bestFit="1" customWidth="1"/>
    <col min="6" max="6" width="7.6640625" bestFit="1" customWidth="1"/>
    <col min="7" max="7" width="4.44140625" bestFit="1" customWidth="1"/>
    <col min="8" max="8" width="4.6640625" bestFit="1" customWidth="1"/>
    <col min="9" max="9" width="7.5546875" bestFit="1" customWidth="1"/>
    <col min="12" max="12" width="15.33203125" bestFit="1" customWidth="1"/>
    <col min="14" max="14" width="0.6640625" customWidth="1"/>
    <col min="15" max="15" width="15.88671875" customWidth="1"/>
    <col min="16" max="16" width="15.77734375" customWidth="1"/>
  </cols>
  <sheetData>
    <row r="1" spans="3:16" ht="15" thickBot="1" x14ac:dyDescent="0.35"/>
    <row r="2" spans="3:16" ht="15" thickTop="1" x14ac:dyDescent="0.3">
      <c r="C2" s="11" t="s">
        <v>33</v>
      </c>
      <c r="D2" s="12"/>
      <c r="E2" s="12"/>
      <c r="F2" s="12"/>
      <c r="G2" s="12"/>
      <c r="H2" s="12"/>
      <c r="I2" s="12"/>
      <c r="J2" s="12"/>
      <c r="K2" s="12"/>
      <c r="L2" s="13"/>
    </row>
    <row r="3" spans="3:16" ht="15" thickBot="1" x14ac:dyDescent="0.35">
      <c r="C3" s="14"/>
      <c r="D3" s="10"/>
      <c r="E3" s="10"/>
      <c r="F3" s="10"/>
      <c r="G3" s="10"/>
      <c r="H3" s="10"/>
      <c r="I3" s="10"/>
      <c r="J3" s="10"/>
      <c r="K3" s="10"/>
      <c r="L3" s="15"/>
    </row>
    <row r="4" spans="3:16" ht="73.2" thickTop="1" thickBot="1" x14ac:dyDescent="0.35"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  <c r="I4" s="2" t="s">
        <v>6</v>
      </c>
      <c r="J4" s="3" t="s">
        <v>26</v>
      </c>
      <c r="K4" s="3" t="s">
        <v>27</v>
      </c>
      <c r="L4" s="3" t="s">
        <v>28</v>
      </c>
      <c r="O4" s="5" t="s">
        <v>29</v>
      </c>
      <c r="P4" s="6"/>
    </row>
    <row r="5" spans="3:16" ht="15.6" thickTop="1" thickBot="1" x14ac:dyDescent="0.35">
      <c r="C5" s="1">
        <v>1</v>
      </c>
      <c r="D5" s="1" t="s">
        <v>7</v>
      </c>
      <c r="E5" s="1" t="s">
        <v>8</v>
      </c>
      <c r="F5" s="1">
        <v>500</v>
      </c>
      <c r="G5" s="1">
        <v>300</v>
      </c>
      <c r="H5" s="1">
        <v>40</v>
      </c>
      <c r="I5" s="1">
        <v>150</v>
      </c>
      <c r="J5" s="1">
        <f>F5-G5</f>
        <v>200</v>
      </c>
      <c r="K5" s="1">
        <f>J5*H5</f>
        <v>8000</v>
      </c>
      <c r="L5" s="1" t="str">
        <f>IF(J5&lt;=I5,"Reorder Required","Sufficient")</f>
        <v>Sufficient</v>
      </c>
      <c r="O5" s="7" t="s">
        <v>30</v>
      </c>
      <c r="P5" s="8">
        <f>SUM(K5:K19)</f>
        <v>115250</v>
      </c>
    </row>
    <row r="6" spans="3:16" ht="15.6" thickTop="1" thickBot="1" x14ac:dyDescent="0.35">
      <c r="C6" s="1">
        <v>2</v>
      </c>
      <c r="D6" s="1" t="s">
        <v>9</v>
      </c>
      <c r="E6" s="1" t="s">
        <v>8</v>
      </c>
      <c r="F6" s="1">
        <v>400</v>
      </c>
      <c r="G6" s="1">
        <v>250</v>
      </c>
      <c r="H6" s="1">
        <v>35</v>
      </c>
      <c r="I6" s="1">
        <v>120</v>
      </c>
      <c r="J6" s="1">
        <f t="shared" ref="J6:J18" si="0">F6-G6</f>
        <v>150</v>
      </c>
      <c r="K6" s="1">
        <f t="shared" ref="K6:K19" si="1">J6*H6</f>
        <v>5250</v>
      </c>
      <c r="L6" s="1" t="str">
        <f t="shared" ref="L6:L19" si="2">IF(J6&lt;=I6,"Reorder Required","Sufficient")</f>
        <v>Sufficient</v>
      </c>
      <c r="O6" s="7"/>
      <c r="P6" s="9"/>
    </row>
    <row r="7" spans="3:16" ht="15.6" thickTop="1" thickBot="1" x14ac:dyDescent="0.35">
      <c r="C7" s="1">
        <v>3</v>
      </c>
      <c r="D7" s="1" t="s">
        <v>10</v>
      </c>
      <c r="E7" s="1" t="s">
        <v>11</v>
      </c>
      <c r="F7" s="1">
        <v>300</v>
      </c>
      <c r="G7" s="1">
        <v>280</v>
      </c>
      <c r="H7" s="1">
        <v>25</v>
      </c>
      <c r="I7" s="1">
        <v>50</v>
      </c>
      <c r="J7" s="1">
        <f t="shared" si="0"/>
        <v>20</v>
      </c>
      <c r="K7" s="1">
        <f t="shared" si="1"/>
        <v>500</v>
      </c>
      <c r="L7" s="1" t="str">
        <f t="shared" si="2"/>
        <v>Reorder Required</v>
      </c>
      <c r="O7" s="7" t="s">
        <v>31</v>
      </c>
      <c r="P7" s="8">
        <f>AVERAGE(J5:J19)</f>
        <v>110</v>
      </c>
    </row>
    <row r="8" spans="3:16" ht="15.6" thickTop="1" thickBot="1" x14ac:dyDescent="0.35">
      <c r="C8" s="1">
        <v>4</v>
      </c>
      <c r="D8" s="1" t="s">
        <v>12</v>
      </c>
      <c r="E8" s="1" t="s">
        <v>11</v>
      </c>
      <c r="F8" s="1">
        <v>200</v>
      </c>
      <c r="G8" s="1">
        <v>120</v>
      </c>
      <c r="H8" s="1">
        <v>80</v>
      </c>
      <c r="I8" s="1">
        <v>60</v>
      </c>
      <c r="J8" s="1">
        <f t="shared" si="0"/>
        <v>80</v>
      </c>
      <c r="K8" s="1">
        <f t="shared" si="1"/>
        <v>6400</v>
      </c>
      <c r="L8" s="1" t="str">
        <f t="shared" si="2"/>
        <v>Sufficient</v>
      </c>
      <c r="O8" s="7"/>
      <c r="P8" s="9"/>
    </row>
    <row r="9" spans="3:16" ht="15.6" thickTop="1" thickBot="1" x14ac:dyDescent="0.35">
      <c r="C9" s="1">
        <v>5</v>
      </c>
      <c r="D9" s="1" t="s">
        <v>13</v>
      </c>
      <c r="E9" s="1" t="s">
        <v>14</v>
      </c>
      <c r="F9" s="1">
        <v>350</v>
      </c>
      <c r="G9" s="1">
        <v>200</v>
      </c>
      <c r="H9" s="1">
        <v>30</v>
      </c>
      <c r="I9" s="1">
        <v>100</v>
      </c>
      <c r="J9" s="1">
        <f t="shared" si="0"/>
        <v>150</v>
      </c>
      <c r="K9" s="1">
        <f t="shared" si="1"/>
        <v>4500</v>
      </c>
      <c r="L9" s="1" t="str">
        <f t="shared" si="2"/>
        <v>Sufficient</v>
      </c>
      <c r="O9" s="7" t="s">
        <v>32</v>
      </c>
      <c r="P9" s="8">
        <f>COUNTIF(L5:L19,"Reorder Required")</f>
        <v>3</v>
      </c>
    </row>
    <row r="10" spans="3:16" ht="15.6" thickTop="1" thickBot="1" x14ac:dyDescent="0.35">
      <c r="C10" s="1">
        <v>6</v>
      </c>
      <c r="D10" s="1" t="s">
        <v>15</v>
      </c>
      <c r="E10" s="1" t="s">
        <v>14</v>
      </c>
      <c r="F10" s="1">
        <v>250</v>
      </c>
      <c r="G10" s="1">
        <v>150</v>
      </c>
      <c r="H10" s="1">
        <v>120</v>
      </c>
      <c r="I10" s="1">
        <v>80</v>
      </c>
      <c r="J10" s="1">
        <f t="shared" si="0"/>
        <v>100</v>
      </c>
      <c r="K10" s="1">
        <f t="shared" si="1"/>
        <v>12000</v>
      </c>
      <c r="L10" s="1" t="str">
        <f t="shared" si="2"/>
        <v>Sufficient</v>
      </c>
      <c r="O10" s="7"/>
      <c r="P10" s="9"/>
    </row>
    <row r="11" spans="3:16" ht="15.6" thickTop="1" thickBot="1" x14ac:dyDescent="0.35">
      <c r="C11" s="1">
        <v>7</v>
      </c>
      <c r="D11" s="1" t="s">
        <v>16</v>
      </c>
      <c r="E11" s="1" t="s">
        <v>8</v>
      </c>
      <c r="F11" s="1">
        <v>450</v>
      </c>
      <c r="G11" s="1">
        <v>300</v>
      </c>
      <c r="H11" s="1">
        <v>110</v>
      </c>
      <c r="I11" s="1">
        <v>140</v>
      </c>
      <c r="J11" s="1">
        <f t="shared" si="0"/>
        <v>150</v>
      </c>
      <c r="K11" s="1">
        <f t="shared" si="1"/>
        <v>16500</v>
      </c>
      <c r="L11" s="1" t="str">
        <f t="shared" si="2"/>
        <v>Sufficient</v>
      </c>
      <c r="O11" s="4"/>
      <c r="P11" s="4"/>
    </row>
    <row r="12" spans="3:16" ht="15.6" thickTop="1" thickBot="1" x14ac:dyDescent="0.35">
      <c r="C12" s="1">
        <v>8</v>
      </c>
      <c r="D12" s="1" t="s">
        <v>17</v>
      </c>
      <c r="E12" s="1" t="s">
        <v>11</v>
      </c>
      <c r="F12" s="1">
        <v>220</v>
      </c>
      <c r="G12" s="1">
        <v>180</v>
      </c>
      <c r="H12" s="1">
        <v>90</v>
      </c>
      <c r="I12" s="1">
        <v>70</v>
      </c>
      <c r="J12" s="1">
        <f t="shared" si="0"/>
        <v>40</v>
      </c>
      <c r="K12" s="1">
        <f t="shared" si="1"/>
        <v>3600</v>
      </c>
      <c r="L12" s="1" t="str">
        <f t="shared" si="2"/>
        <v>Reorder Required</v>
      </c>
    </row>
    <row r="13" spans="3:16" ht="15.6" thickTop="1" thickBot="1" x14ac:dyDescent="0.35">
      <c r="C13" s="1">
        <v>9</v>
      </c>
      <c r="D13" s="1" t="s">
        <v>18</v>
      </c>
      <c r="E13" s="1" t="s">
        <v>14</v>
      </c>
      <c r="F13" s="1">
        <v>300</v>
      </c>
      <c r="G13" s="1">
        <v>190</v>
      </c>
      <c r="H13" s="1">
        <v>60</v>
      </c>
      <c r="I13" s="1">
        <v>90</v>
      </c>
      <c r="J13" s="1">
        <f t="shared" si="0"/>
        <v>110</v>
      </c>
      <c r="K13" s="1">
        <f t="shared" si="1"/>
        <v>6600</v>
      </c>
      <c r="L13" s="1" t="str">
        <f t="shared" si="2"/>
        <v>Sufficient</v>
      </c>
    </row>
    <row r="14" spans="3:16" ht="15.6" thickTop="1" thickBot="1" x14ac:dyDescent="0.35">
      <c r="C14" s="1">
        <v>10</v>
      </c>
      <c r="D14" s="1" t="s">
        <v>19</v>
      </c>
      <c r="E14" s="1" t="s">
        <v>8</v>
      </c>
      <c r="F14" s="1">
        <v>380</v>
      </c>
      <c r="G14" s="1">
        <v>240</v>
      </c>
      <c r="H14" s="1">
        <v>20</v>
      </c>
      <c r="I14" s="1">
        <v>100</v>
      </c>
      <c r="J14" s="1">
        <f t="shared" si="0"/>
        <v>140</v>
      </c>
      <c r="K14" s="1">
        <f t="shared" si="1"/>
        <v>2800</v>
      </c>
      <c r="L14" s="1" t="str">
        <f t="shared" si="2"/>
        <v>Sufficient</v>
      </c>
    </row>
    <row r="15" spans="3:16" ht="15.6" thickTop="1" thickBot="1" x14ac:dyDescent="0.35">
      <c r="C15" s="1">
        <v>11</v>
      </c>
      <c r="D15" s="1" t="s">
        <v>20</v>
      </c>
      <c r="E15" s="1" t="s">
        <v>21</v>
      </c>
      <c r="F15" s="1">
        <v>270</v>
      </c>
      <c r="G15" s="1">
        <v>160</v>
      </c>
      <c r="H15" s="1">
        <v>150</v>
      </c>
      <c r="I15" s="1">
        <v>80</v>
      </c>
      <c r="J15" s="1">
        <f t="shared" si="0"/>
        <v>110</v>
      </c>
      <c r="K15" s="1">
        <f t="shared" si="1"/>
        <v>16500</v>
      </c>
      <c r="L15" s="1" t="str">
        <f t="shared" si="2"/>
        <v>Sufficient</v>
      </c>
    </row>
    <row r="16" spans="3:16" ht="15.6" thickTop="1" thickBot="1" x14ac:dyDescent="0.35">
      <c r="C16" s="1">
        <v>12</v>
      </c>
      <c r="D16" s="1" t="s">
        <v>22</v>
      </c>
      <c r="E16" s="1" t="s">
        <v>21</v>
      </c>
      <c r="F16" s="1">
        <v>200</v>
      </c>
      <c r="G16" s="1">
        <v>110</v>
      </c>
      <c r="H16" s="1">
        <v>140</v>
      </c>
      <c r="I16" s="1">
        <v>70</v>
      </c>
      <c r="J16" s="1">
        <f t="shared" si="0"/>
        <v>90</v>
      </c>
      <c r="K16" s="1">
        <f t="shared" si="1"/>
        <v>12600</v>
      </c>
      <c r="L16" s="1" t="str">
        <f t="shared" si="2"/>
        <v>Sufficient</v>
      </c>
    </row>
    <row r="17" spans="3:12" ht="15.6" thickTop="1" thickBot="1" x14ac:dyDescent="0.35">
      <c r="C17" s="1">
        <v>13</v>
      </c>
      <c r="D17" s="1" t="s">
        <v>23</v>
      </c>
      <c r="E17" s="1" t="s">
        <v>8</v>
      </c>
      <c r="F17" s="1">
        <v>500</v>
      </c>
      <c r="G17" s="1">
        <v>320</v>
      </c>
      <c r="H17" s="1">
        <v>45</v>
      </c>
      <c r="I17" s="1">
        <v>150</v>
      </c>
      <c r="J17" s="1">
        <f t="shared" si="0"/>
        <v>180</v>
      </c>
      <c r="K17" s="1">
        <f t="shared" si="1"/>
        <v>8100</v>
      </c>
      <c r="L17" s="1" t="str">
        <f t="shared" si="2"/>
        <v>Sufficient</v>
      </c>
    </row>
    <row r="18" spans="3:12" ht="15.6" thickTop="1" thickBot="1" x14ac:dyDescent="0.35">
      <c r="C18" s="1">
        <v>14</v>
      </c>
      <c r="D18" s="1" t="s">
        <v>24</v>
      </c>
      <c r="E18" s="1" t="s">
        <v>11</v>
      </c>
      <c r="F18" s="1">
        <v>260</v>
      </c>
      <c r="G18" s="1">
        <v>210</v>
      </c>
      <c r="H18" s="1">
        <v>30</v>
      </c>
      <c r="I18" s="1">
        <v>60</v>
      </c>
      <c r="J18" s="1">
        <f t="shared" si="0"/>
        <v>50</v>
      </c>
      <c r="K18" s="1">
        <f t="shared" si="1"/>
        <v>1500</v>
      </c>
      <c r="L18" s="1" t="str">
        <f t="shared" si="2"/>
        <v>Reorder Required</v>
      </c>
    </row>
    <row r="19" spans="3:12" ht="15.6" thickTop="1" thickBot="1" x14ac:dyDescent="0.35">
      <c r="C19" s="1">
        <v>15</v>
      </c>
      <c r="D19" s="1" t="s">
        <v>25</v>
      </c>
      <c r="E19" s="1" t="s">
        <v>14</v>
      </c>
      <c r="F19" s="1">
        <v>180</v>
      </c>
      <c r="G19" s="1">
        <v>100</v>
      </c>
      <c r="H19" s="1">
        <v>130</v>
      </c>
      <c r="I19" s="1">
        <v>50</v>
      </c>
      <c r="J19" s="1">
        <f>F19-G19</f>
        <v>80</v>
      </c>
      <c r="K19" s="1">
        <f t="shared" si="1"/>
        <v>10400</v>
      </c>
      <c r="L19" s="1" t="str">
        <f t="shared" si="2"/>
        <v>Sufficient</v>
      </c>
    </row>
    <row r="20" spans="3:12" ht="15" thickTop="1" x14ac:dyDescent="0.3"/>
  </sheetData>
  <mergeCells count="8">
    <mergeCell ref="C2:L3"/>
    <mergeCell ref="O4:P4"/>
    <mergeCell ref="O5:O6"/>
    <mergeCell ref="O7:O8"/>
    <mergeCell ref="O9:O10"/>
    <mergeCell ref="P5:P6"/>
    <mergeCell ref="P7:P8"/>
    <mergeCell ref="P9:P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Vighne</dc:creator>
  <cp:lastModifiedBy>Sumit Vighne</cp:lastModifiedBy>
  <dcterms:created xsi:type="dcterms:W3CDTF">2026-02-15T14:38:55Z</dcterms:created>
  <dcterms:modified xsi:type="dcterms:W3CDTF">2026-02-16T17:53:49Z</dcterms:modified>
</cp:coreProperties>
</file>
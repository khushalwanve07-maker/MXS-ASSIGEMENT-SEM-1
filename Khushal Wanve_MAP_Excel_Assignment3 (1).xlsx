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Screenshots\Assignment\"/>
    </mc:Choice>
  </mc:AlternateContent>
  <xr:revisionPtr revIDLastSave="0" documentId="13_ncr:1_{1E9CDC52-4BDD-42ED-80F2-96F75061E290}" xr6:coauthVersionLast="47" xr6:coauthVersionMax="47" xr10:uidLastSave="{00000000-0000-0000-0000-000000000000}"/>
  <bookViews>
    <workbookView xWindow="-108" yWindow="-108" windowWidth="23256" windowHeight="12456" xr2:uid="{253C11E3-F5D6-4D76-90AD-15785D9C7BE7}"/>
  </bookViews>
  <sheets>
    <sheet name="Finan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R21" i="1"/>
  <c r="Q21" i="1"/>
  <c r="R20" i="1"/>
  <c r="Q20" i="1"/>
  <c r="Q19" i="1"/>
  <c r="R19" i="1"/>
  <c r="M19" i="1"/>
  <c r="J19" i="1"/>
  <c r="G19" i="1"/>
  <c r="D19" i="1"/>
  <c r="M16" i="1"/>
  <c r="M6" i="1"/>
  <c r="M7" i="1"/>
  <c r="M8" i="1"/>
  <c r="M9" i="1"/>
  <c r="M10" i="1"/>
  <c r="M11" i="1"/>
  <c r="M12" i="1"/>
  <c r="M13" i="1"/>
  <c r="M14" i="1"/>
  <c r="M15" i="1"/>
  <c r="M5" i="1"/>
  <c r="L6" i="1"/>
  <c r="L7" i="1"/>
  <c r="L8" i="1"/>
  <c r="L9" i="1"/>
  <c r="L14" i="1"/>
  <c r="L15" i="1"/>
  <c r="L16" i="1"/>
  <c r="L5" i="1"/>
  <c r="K6" i="1"/>
  <c r="K7" i="1"/>
  <c r="K8" i="1"/>
  <c r="K9" i="1"/>
  <c r="K10" i="1"/>
  <c r="L10" i="1" s="1"/>
  <c r="K11" i="1"/>
  <c r="L11" i="1" s="1"/>
  <c r="K12" i="1"/>
  <c r="L12" i="1" s="1"/>
  <c r="K13" i="1"/>
  <c r="L13" i="1" s="1"/>
  <c r="K14" i="1"/>
  <c r="K15" i="1"/>
  <c r="K16" i="1"/>
  <c r="K5" i="1"/>
  <c r="J6" i="1"/>
  <c r="J7" i="1"/>
  <c r="J8" i="1"/>
  <c r="J9" i="1"/>
  <c r="J14" i="1"/>
  <c r="J15" i="1"/>
  <c r="J16" i="1"/>
  <c r="J5" i="1"/>
  <c r="I6" i="1"/>
  <c r="I7" i="1"/>
  <c r="I8" i="1"/>
  <c r="I9" i="1"/>
  <c r="I10" i="1"/>
  <c r="J10" i="1" s="1"/>
  <c r="I11" i="1"/>
  <c r="J11" i="1" s="1"/>
  <c r="I12" i="1"/>
  <c r="J12" i="1" s="1"/>
  <c r="I13" i="1"/>
  <c r="J13" i="1" s="1"/>
  <c r="I14" i="1"/>
  <c r="I15" i="1"/>
  <c r="I16" i="1"/>
  <c r="I5" i="1"/>
</calcChain>
</file>

<file path=xl/sharedStrings.xml><?xml version="1.0" encoding="utf-8"?>
<sst xmlns="http://schemas.openxmlformats.org/spreadsheetml/2006/main" count="50" uniqueCount="25">
  <si>
    <t>Month</t>
  </si>
  <si>
    <t>Dept</t>
  </si>
  <si>
    <t>Budget</t>
  </si>
  <si>
    <t>Actual</t>
  </si>
  <si>
    <t>Revenue</t>
  </si>
  <si>
    <t>Oct</t>
  </si>
  <si>
    <t>Sales</t>
  </si>
  <si>
    <t>Marketing</t>
  </si>
  <si>
    <t>HR</t>
  </si>
  <si>
    <t>IT</t>
  </si>
  <si>
    <t>Nov</t>
  </si>
  <si>
    <t>Dec</t>
  </si>
  <si>
    <t xml:space="preserve"> Expense Variance </t>
  </si>
  <si>
    <t xml:space="preserve"> Variance % </t>
  </si>
  <si>
    <t xml:space="preserve"> Profit </t>
  </si>
  <si>
    <t xml:space="preserve"> Profit Margin % </t>
  </si>
  <si>
    <t xml:space="preserve"> Variance Type </t>
  </si>
  <si>
    <t>Sales Profit Sums</t>
  </si>
  <si>
    <t>Marketing Profit Sums</t>
  </si>
  <si>
    <t>HR Profit Sums</t>
  </si>
  <si>
    <t>IT Profit sums</t>
  </si>
  <si>
    <t>Total Budget</t>
  </si>
  <si>
    <t>Total Actual</t>
  </si>
  <si>
    <t>Total Profit</t>
  </si>
  <si>
    <t>ABC Ltd – Quarterly Budget vs Actual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</si>
</sst>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/>
    <xf numFmtId="0" fontId="0" fillId="3" borderId="1" xfId="0" applyFill="1" applyBorder="1"/>
    <xf numFmtId="0" fontId="2" fillId="2" borderId="1" xfId="0" applyFont="1" applyFill="1" applyBorder="1"/>
    <xf numFmtId="9" fontId="0" fillId="3" borderId="1" xfId="1" applyFont="1" applyFill="1" applyBorder="1"/>
    <xf numFmtId="0" fontId="3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3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vs Actual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Finance_Data!$Q$18</c:f>
              <c:strCache>
                <c:ptCount val="1"/>
                <c:pt idx="0">
                  <c:v>Total 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Finance_Data!$P$19:$P$21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Finance_Data!$Q$19:$Q$21</c:f>
              <c:numCache>
                <c:formatCode>General</c:formatCode>
                <c:ptCount val="3"/>
                <c:pt idx="0">
                  <c:v>125000</c:v>
                </c:pt>
                <c:pt idx="1">
                  <c:v>134000</c:v>
                </c:pt>
                <c:pt idx="2">
                  <c:v>144000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A-4A06-A771-9B0B5C37B0EF}"/>
            </c:ext>
          </c:extLst>
        </c:ser>
        <c:ser>
          <c:idx val="1"/>
          <c:order val="1"/>
          <c:tx>
            <c:strRef>
              <c:f>Finance_Data!$R$18</c:f>
              <c:strCache>
                <c:ptCount val="1"/>
                <c:pt idx="0">
                  <c:v>Total 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Finance_Data!$P$19:$P$21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Finance_Data!$R$19:$R$21</c:f>
              <c:numCache>
                <c:formatCode>General</c:formatCode>
                <c:ptCount val="3"/>
                <c:pt idx="0">
                  <c:v>128000</c:v>
                </c:pt>
                <c:pt idx="1">
                  <c:v>134500</c:v>
                </c:pt>
                <c:pt idx="2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A-4A06-A771-9B0B5C37B0E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515551"/>
        <c:axId val="10516991"/>
        <c:axId val="0"/>
      </c:bar3DChart>
      <c:catAx>
        <c:axId val="1051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991"/>
        <c:crosses val="autoZero"/>
        <c:auto val="1"/>
        <c:lblAlgn val="ctr"/>
        <c:lblOffset val="100"/>
        <c:noMultiLvlLbl val="0"/>
      </c:catAx>
      <c:valAx>
        <c:axId val="1051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Finance_Data!$E$22</c:f>
              <c:strCache>
                <c:ptCount val="1"/>
                <c:pt idx="0">
                  <c:v>Total Profit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Finance_Data!$D$23:$D$25</c:f>
              <c:strCache>
                <c:ptCount val="3"/>
                <c:pt idx="0">
                  <c:v>Oct</c:v>
                </c:pt>
                <c:pt idx="1">
                  <c:v>Nov</c:v>
                </c:pt>
                <c:pt idx="2">
                  <c:v>Dec</c:v>
                </c:pt>
              </c:strCache>
            </c:strRef>
          </c:cat>
          <c:val>
            <c:numRef>
              <c:f>Finance_Data!$E$23:$E$25</c:f>
              <c:numCache>
                <c:formatCode>General</c:formatCode>
                <c:ptCount val="3"/>
                <c:pt idx="0">
                  <c:v>215000</c:v>
                </c:pt>
                <c:pt idx="1">
                  <c:v>225000</c:v>
                </c:pt>
                <c:pt idx="2">
                  <c:v>246000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FB-4A9B-BEE9-B9AECCCA2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655087"/>
        <c:axId val="980662767"/>
      </c:lineChart>
      <c:catAx>
        <c:axId val="98065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662767"/>
        <c:crosses val="autoZero"/>
        <c:auto val="1"/>
        <c:lblAlgn val="ctr"/>
        <c:lblOffset val="100"/>
        <c:noMultiLvlLbl val="0"/>
      </c:catAx>
      <c:valAx>
        <c:axId val="9806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65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Profit Trend</a:t>
            </a:r>
          </a:p>
        </c:rich>
      </c:tx>
      <c:layout>
        <c:manualLayout>
          <c:xMode val="edge"/>
          <c:yMode val="edge"/>
          <c:x val="0.29268241469816281"/>
          <c:y val="7.2016460905349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Finance_Data!$K$4</c:f>
              <c:strCache>
                <c:ptCount val="1"/>
                <c:pt idx="0">
                  <c:v> Profit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Finance_Data!$D$5:$D$16</c:f>
              <c:strCache>
                <c:ptCount val="12"/>
                <c:pt idx="0">
                  <c:v>Oct</c:v>
                </c:pt>
                <c:pt idx="1">
                  <c:v>Oct</c:v>
                </c:pt>
                <c:pt idx="2">
                  <c:v>Oct</c:v>
                </c:pt>
                <c:pt idx="3">
                  <c:v>Oct</c:v>
                </c:pt>
                <c:pt idx="4">
                  <c:v>Nov</c:v>
                </c:pt>
                <c:pt idx="5">
                  <c:v>Nov</c:v>
                </c:pt>
                <c:pt idx="6">
                  <c:v>Nov</c:v>
                </c:pt>
                <c:pt idx="7">
                  <c:v>Nov</c:v>
                </c:pt>
                <c:pt idx="8">
                  <c:v>Dec</c:v>
                </c:pt>
                <c:pt idx="9">
                  <c:v>Dec</c:v>
                </c:pt>
                <c:pt idx="10">
                  <c:v>Dec</c:v>
                </c:pt>
                <c:pt idx="11">
                  <c:v>Dec</c:v>
                </c:pt>
              </c:strCache>
            </c:strRef>
          </c:cat>
          <c:val>
            <c:numRef>
              <c:f>Finance_Data!$K$5:$K$16</c:f>
              <c:numCache>
                <c:formatCode>General</c:formatCode>
                <c:ptCount val="12"/>
                <c:pt idx="0">
                  <c:v>100000</c:v>
                </c:pt>
                <c:pt idx="1">
                  <c:v>60000</c:v>
                </c:pt>
                <c:pt idx="2">
                  <c:v>20000</c:v>
                </c:pt>
                <c:pt idx="3">
                  <c:v>35000</c:v>
                </c:pt>
                <c:pt idx="4">
                  <c:v>105000</c:v>
                </c:pt>
                <c:pt idx="5">
                  <c:v>63000</c:v>
                </c:pt>
                <c:pt idx="6">
                  <c:v>21000</c:v>
                </c:pt>
                <c:pt idx="7">
                  <c:v>36000</c:v>
                </c:pt>
                <c:pt idx="8">
                  <c:v>120000</c:v>
                </c:pt>
                <c:pt idx="9">
                  <c:v>65000</c:v>
                </c:pt>
                <c:pt idx="10">
                  <c:v>23000</c:v>
                </c:pt>
                <c:pt idx="11">
                  <c:v>38000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7-4EB9-A2BE-6608574B6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7221519"/>
        <c:axId val="517218639"/>
      </c:lineChart>
      <c:catAx>
        <c:axId val="51722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18639"/>
        <c:crosses val="autoZero"/>
        <c:auto val="1"/>
        <c:lblAlgn val="ctr"/>
        <c:lblOffset val="100"/>
        <c:noMultiLvlLbl val="0"/>
      </c:catAx>
      <c:valAx>
        <c:axId val="51721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22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213360</xdr:colOff>
      <xdr:row>3</xdr:row>
      <xdr:rowOff>7620</xdr:rowOff>
    </xdr:from>
    <xdr:to>
      <xdr:col>19</xdr:col>
      <xdr:colOff>335280</xdr:colOff>
      <xdr:row>15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2CAA56-BDBC-B6F7-3482-A1EAD2865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205740</xdr:colOff>
      <xdr:row>20</xdr:row>
      <xdr:rowOff>114300</xdr:rowOff>
    </xdr:from>
    <xdr:to>
      <xdr:col>10</xdr:col>
      <xdr:colOff>457200</xdr:colOff>
      <xdr:row>27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274596-05A2-B589-2132-DFC8E01D2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83820</xdr:colOff>
      <xdr:row>21</xdr:row>
      <xdr:rowOff>60960</xdr:rowOff>
    </xdr:from>
    <xdr:to>
      <xdr:col>16</xdr:col>
      <xdr:colOff>335280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0A0C7-AB46-E4F9-6E3F-91B026EB1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9518-641D-459C-97FE-E4754416F0A5}">
  <dimension ref="D1:R26"/>
  <sheetViews>
    <sheetView tabSelected="1" topLeftCell="A10" workbookViewId="0">
      <selection activeCell="U13" sqref="U13"/>
    </sheetView>
  </sheetViews>
  <sheetFormatPr defaultRowHeight="14.4"/>
  <cols>
    <col min="9" max="9" width="16.21875" bestFit="1" customWidth="1"/>
    <col min="10" max="10" width="10.88671875" bestFit="1" customWidth="1"/>
    <col min="11" max="11" width="7" bestFit="1" customWidth="1"/>
    <col min="12" max="12" width="14.5546875" bestFit="1" customWidth="1"/>
    <col min="13" max="13" width="13.44140625" bestFit="1" customWidth="1"/>
  </cols>
  <sheetData>
    <row r="1" spans="4:13" ht="15" thickBot="1"/>
    <row r="2" spans="4:13" ht="15" thickTop="1">
      <c r="D2" s="15" t="s">
        <v>24</v>
      </c>
      <c r="E2" s="16"/>
      <c r="F2" s="16"/>
      <c r="G2" s="16"/>
      <c r="H2" s="16"/>
      <c r="I2" s="16"/>
      <c r="J2" s="16"/>
      <c r="K2" s="16"/>
      <c r="L2" s="16"/>
      <c r="M2" s="17"/>
    </row>
    <row r="3" spans="4:13" ht="15" thickBot="1">
      <c r="D3" s="18"/>
      <c r="E3" s="14"/>
      <c r="F3" s="14"/>
      <c r="G3" s="14"/>
      <c r="H3" s="14"/>
      <c r="I3" s="14"/>
      <c r="J3" s="14"/>
      <c r="K3" s="14"/>
      <c r="L3" s="14"/>
      <c r="M3" s="19"/>
    </row>
    <row r="4" spans="4:13" ht="15.6" thickTop="1" thickBot="1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</row>
    <row r="5" spans="4:13" ht="15.6" thickTop="1" thickBot="1">
      <c r="D5" s="2" t="s">
        <v>5</v>
      </c>
      <c r="E5" s="2" t="s">
        <v>6</v>
      </c>
      <c r="F5" s="2">
        <v>50000</v>
      </c>
      <c r="G5" s="2">
        <v>52000</v>
      </c>
      <c r="H5" s="2">
        <v>150000</v>
      </c>
      <c r="I5" s="4">
        <f>G5-F5</f>
        <v>2000</v>
      </c>
      <c r="J5" s="6">
        <f>I5/F5</f>
        <v>0.04</v>
      </c>
      <c r="K5" s="4">
        <f>H5-F5</f>
        <v>100000</v>
      </c>
      <c r="L5" s="6">
        <f>K5/H5</f>
        <v>0.66666666666666663</v>
      </c>
      <c r="M5" s="4" t="str">
        <f>IF(G5&lt;=F2,"Favorable","Unfavorable")</f>
        <v>Unfavorable</v>
      </c>
    </row>
    <row r="6" spans="4:13" ht="30" thickTop="1" thickBot="1">
      <c r="D6" s="2" t="s">
        <v>5</v>
      </c>
      <c r="E6" s="2" t="s">
        <v>7</v>
      </c>
      <c r="F6" s="2">
        <v>30000</v>
      </c>
      <c r="G6" s="2">
        <v>28000</v>
      </c>
      <c r="H6" s="2">
        <v>90000</v>
      </c>
      <c r="I6" s="4">
        <f t="shared" ref="I6:I16" si="0">G6-F6</f>
        <v>-2000</v>
      </c>
      <c r="J6" s="6">
        <f t="shared" ref="J6:J16" si="1">I6/F6</f>
        <v>-6.6666666666666666E-2</v>
      </c>
      <c r="K6" s="4">
        <f t="shared" ref="K6:K16" si="2">H6-F6</f>
        <v>60000</v>
      </c>
      <c r="L6" s="6">
        <f t="shared" ref="L6:L16" si="3">K6/H6</f>
        <v>0.66666666666666663</v>
      </c>
      <c r="M6" s="4" t="str">
        <f t="shared" ref="M6:M15" si="4">IF(G6&lt;=F3,"Favorable","Unfavorable")</f>
        <v>Unfavorable</v>
      </c>
    </row>
    <row r="7" spans="4:13" ht="15.6" thickTop="1" thickBot="1">
      <c r="D7" s="2" t="s">
        <v>5</v>
      </c>
      <c r="E7" s="2" t="s">
        <v>8</v>
      </c>
      <c r="F7" s="2">
        <v>20000</v>
      </c>
      <c r="G7" s="2">
        <v>22000</v>
      </c>
      <c r="H7" s="2">
        <v>40000</v>
      </c>
      <c r="I7" s="4">
        <f t="shared" si="0"/>
        <v>2000</v>
      </c>
      <c r="J7" s="6">
        <f t="shared" si="1"/>
        <v>0.1</v>
      </c>
      <c r="K7" s="4">
        <f t="shared" si="2"/>
        <v>20000</v>
      </c>
      <c r="L7" s="6">
        <f t="shared" si="3"/>
        <v>0.5</v>
      </c>
      <c r="M7" s="4" t="str">
        <f t="shared" si="4"/>
        <v>Favorable</v>
      </c>
    </row>
    <row r="8" spans="4:13" ht="15.6" thickTop="1" thickBot="1">
      <c r="D8" s="2" t="s">
        <v>5</v>
      </c>
      <c r="E8" s="2" t="s">
        <v>9</v>
      </c>
      <c r="F8" s="2">
        <v>25000</v>
      </c>
      <c r="G8" s="2">
        <v>26000</v>
      </c>
      <c r="H8" s="2">
        <v>60000</v>
      </c>
      <c r="I8" s="4">
        <f t="shared" si="0"/>
        <v>1000</v>
      </c>
      <c r="J8" s="6">
        <f t="shared" si="1"/>
        <v>0.04</v>
      </c>
      <c r="K8" s="4">
        <f t="shared" si="2"/>
        <v>35000</v>
      </c>
      <c r="L8" s="6">
        <f t="shared" si="3"/>
        <v>0.58333333333333337</v>
      </c>
      <c r="M8" s="4" t="str">
        <f t="shared" si="4"/>
        <v>Favorable</v>
      </c>
    </row>
    <row r="9" spans="4:13" ht="15.6" thickTop="1" thickBot="1">
      <c r="D9" s="2" t="s">
        <v>10</v>
      </c>
      <c r="E9" s="2" t="s">
        <v>6</v>
      </c>
      <c r="F9" s="2">
        <v>55000</v>
      </c>
      <c r="G9" s="2">
        <v>54000</v>
      </c>
      <c r="H9" s="2">
        <v>160000</v>
      </c>
      <c r="I9" s="4">
        <f t="shared" si="0"/>
        <v>-1000</v>
      </c>
      <c r="J9" s="6">
        <f t="shared" si="1"/>
        <v>-1.8181818181818181E-2</v>
      </c>
      <c r="K9" s="4">
        <f t="shared" si="2"/>
        <v>105000</v>
      </c>
      <c r="L9" s="6">
        <f t="shared" si="3"/>
        <v>0.65625</v>
      </c>
      <c r="M9" s="4" t="str">
        <f t="shared" si="4"/>
        <v>Unfavorable</v>
      </c>
    </row>
    <row r="10" spans="4:13" ht="30" thickTop="1" thickBot="1">
      <c r="D10" s="2" t="s">
        <v>10</v>
      </c>
      <c r="E10" s="2" t="s">
        <v>7</v>
      </c>
      <c r="F10" s="2">
        <v>32000</v>
      </c>
      <c r="G10" s="2">
        <v>35000</v>
      </c>
      <c r="H10" s="2">
        <v>95000</v>
      </c>
      <c r="I10" s="4">
        <f t="shared" si="0"/>
        <v>3000</v>
      </c>
      <c r="J10" s="6">
        <f t="shared" si="1"/>
        <v>9.375E-2</v>
      </c>
      <c r="K10" s="4">
        <f t="shared" si="2"/>
        <v>63000</v>
      </c>
      <c r="L10" s="6">
        <f t="shared" si="3"/>
        <v>0.66315789473684206</v>
      </c>
      <c r="M10" s="4" t="str">
        <f t="shared" si="4"/>
        <v>Unfavorable</v>
      </c>
    </row>
    <row r="11" spans="4:13" ht="15.6" thickTop="1" thickBot="1">
      <c r="D11" s="2" t="s">
        <v>10</v>
      </c>
      <c r="E11" s="2" t="s">
        <v>8</v>
      </c>
      <c r="F11" s="2">
        <v>21000</v>
      </c>
      <c r="G11" s="2">
        <v>20000</v>
      </c>
      <c r="H11" s="2">
        <v>42000</v>
      </c>
      <c r="I11" s="4">
        <f t="shared" si="0"/>
        <v>-1000</v>
      </c>
      <c r="J11" s="6">
        <f t="shared" si="1"/>
        <v>-4.7619047619047616E-2</v>
      </c>
      <c r="K11" s="4">
        <f t="shared" si="2"/>
        <v>21000</v>
      </c>
      <c r="L11" s="6">
        <f t="shared" si="3"/>
        <v>0.5</v>
      </c>
      <c r="M11" s="4" t="str">
        <f t="shared" si="4"/>
        <v>Favorable</v>
      </c>
    </row>
    <row r="12" spans="4:13" ht="15.6" thickTop="1" thickBot="1">
      <c r="D12" s="2" t="s">
        <v>10</v>
      </c>
      <c r="E12" s="2" t="s">
        <v>9</v>
      </c>
      <c r="F12" s="2">
        <v>26000</v>
      </c>
      <c r="G12" s="2">
        <v>25500</v>
      </c>
      <c r="H12" s="2">
        <v>62000</v>
      </c>
      <c r="I12" s="4">
        <f t="shared" si="0"/>
        <v>-500</v>
      </c>
      <c r="J12" s="6">
        <f t="shared" si="1"/>
        <v>-1.9230769230769232E-2</v>
      </c>
      <c r="K12" s="4">
        <f t="shared" si="2"/>
        <v>36000</v>
      </c>
      <c r="L12" s="6">
        <f t="shared" si="3"/>
        <v>0.58064516129032262</v>
      </c>
      <c r="M12" s="4" t="str">
        <f t="shared" si="4"/>
        <v>Favorable</v>
      </c>
    </row>
    <row r="13" spans="4:13" ht="15.6" thickTop="1" thickBot="1">
      <c r="D13" s="2" t="s">
        <v>11</v>
      </c>
      <c r="E13" s="2" t="s">
        <v>6</v>
      </c>
      <c r="F13" s="2">
        <v>60000</v>
      </c>
      <c r="G13" s="2">
        <v>63000</v>
      </c>
      <c r="H13" s="2">
        <v>180000</v>
      </c>
      <c r="I13" s="4">
        <f t="shared" si="0"/>
        <v>3000</v>
      </c>
      <c r="J13" s="6">
        <f t="shared" si="1"/>
        <v>0.05</v>
      </c>
      <c r="K13" s="4">
        <f t="shared" si="2"/>
        <v>120000</v>
      </c>
      <c r="L13" s="6">
        <f t="shared" si="3"/>
        <v>0.66666666666666663</v>
      </c>
      <c r="M13" s="4" t="str">
        <f t="shared" si="4"/>
        <v>Unfavorable</v>
      </c>
    </row>
    <row r="14" spans="4:13" ht="30" thickTop="1" thickBot="1">
      <c r="D14" s="2" t="s">
        <v>11</v>
      </c>
      <c r="E14" s="2" t="s">
        <v>7</v>
      </c>
      <c r="F14" s="2">
        <v>35000</v>
      </c>
      <c r="G14" s="2">
        <v>37000</v>
      </c>
      <c r="H14" s="2">
        <v>100000</v>
      </c>
      <c r="I14" s="4">
        <f t="shared" si="0"/>
        <v>2000</v>
      </c>
      <c r="J14" s="6">
        <f t="shared" si="1"/>
        <v>5.7142857142857141E-2</v>
      </c>
      <c r="K14" s="4">
        <f t="shared" si="2"/>
        <v>65000</v>
      </c>
      <c r="L14" s="6">
        <f t="shared" si="3"/>
        <v>0.65</v>
      </c>
      <c r="M14" s="4" t="str">
        <f t="shared" si="4"/>
        <v>Unfavorable</v>
      </c>
    </row>
    <row r="15" spans="4:13" ht="15.6" thickTop="1" thickBot="1">
      <c r="D15" s="2" t="s">
        <v>11</v>
      </c>
      <c r="E15" s="2" t="s">
        <v>8</v>
      </c>
      <c r="F15" s="2">
        <v>22000</v>
      </c>
      <c r="G15" s="2">
        <v>21000</v>
      </c>
      <c r="H15" s="2">
        <v>45000</v>
      </c>
      <c r="I15" s="4">
        <f t="shared" si="0"/>
        <v>-1000</v>
      </c>
      <c r="J15" s="6">
        <f t="shared" si="1"/>
        <v>-4.5454545454545456E-2</v>
      </c>
      <c r="K15" s="4">
        <f t="shared" si="2"/>
        <v>23000</v>
      </c>
      <c r="L15" s="6">
        <f t="shared" si="3"/>
        <v>0.51111111111111107</v>
      </c>
      <c r="M15" s="4" t="str">
        <f t="shared" si="4"/>
        <v>Favorable</v>
      </c>
    </row>
    <row r="16" spans="4:13" ht="15.6" thickTop="1" thickBot="1">
      <c r="D16" s="2" t="s">
        <v>11</v>
      </c>
      <c r="E16" s="2" t="s">
        <v>9</v>
      </c>
      <c r="F16" s="2">
        <v>27000</v>
      </c>
      <c r="G16" s="2">
        <v>29000</v>
      </c>
      <c r="H16" s="2">
        <v>65000</v>
      </c>
      <c r="I16" s="4">
        <f t="shared" si="0"/>
        <v>2000</v>
      </c>
      <c r="J16" s="6">
        <f t="shared" si="1"/>
        <v>7.407407407407407E-2</v>
      </c>
      <c r="K16" s="4">
        <f t="shared" si="2"/>
        <v>38000</v>
      </c>
      <c r="L16" s="6">
        <f t="shared" si="3"/>
        <v>0.58461538461538465</v>
      </c>
      <c r="M16" s="4" t="str">
        <f>IF(G16&lt;=F13,"Favorable","Unfavorable")</f>
        <v>Favorable</v>
      </c>
    </row>
    <row r="17" spans="4:18" ht="15.6" thickTop="1" thickBot="1"/>
    <row r="18" spans="4:18" ht="30" thickTop="1" thickBot="1">
      <c r="D18" s="8" t="s">
        <v>17</v>
      </c>
      <c r="E18" s="9"/>
      <c r="G18" s="8" t="s">
        <v>18</v>
      </c>
      <c r="H18" s="9"/>
      <c r="I18" s="3"/>
      <c r="J18" s="8" t="s">
        <v>19</v>
      </c>
      <c r="K18" s="9"/>
      <c r="L18" s="3"/>
      <c r="M18" s="8" t="s">
        <v>20</v>
      </c>
      <c r="N18" s="9"/>
      <c r="P18" s="1" t="s">
        <v>0</v>
      </c>
      <c r="Q18" s="1" t="s">
        <v>21</v>
      </c>
      <c r="R18" s="1" t="s">
        <v>22</v>
      </c>
    </row>
    <row r="19" spans="4:18" ht="15.6" thickTop="1" thickBot="1">
      <c r="D19" s="10">
        <f>SUMIF(E5:E16,"Sales",K5:K16)</f>
        <v>325000</v>
      </c>
      <c r="E19" s="11"/>
      <c r="G19" s="10">
        <f>SUMIF(E5:E16,"Marketing",K5:K16)</f>
        <v>188000</v>
      </c>
      <c r="H19" s="11"/>
      <c r="I19" s="3"/>
      <c r="J19" s="10">
        <f>SUMIF(E5:E16,"HR",K5:K16)</f>
        <v>64000</v>
      </c>
      <c r="K19" s="11"/>
      <c r="L19" s="3"/>
      <c r="M19" s="10">
        <f>SUMIF(E5:E16,"IT",K5:K16)</f>
        <v>109000</v>
      </c>
      <c r="N19" s="11"/>
      <c r="P19" s="2" t="s">
        <v>5</v>
      </c>
      <c r="Q19" s="7">
        <f>SUMIF(D5:D16,"Oct",F5:F16)</f>
        <v>125000</v>
      </c>
      <c r="R19" s="7">
        <f>SUMIF(D5:D16,"Oct",G5:G16)</f>
        <v>128000</v>
      </c>
    </row>
    <row r="20" spans="4:18" ht="15.6" thickTop="1" thickBot="1">
      <c r="D20" s="12"/>
      <c r="E20" s="13"/>
      <c r="G20" s="12"/>
      <c r="H20" s="13"/>
      <c r="I20" s="3"/>
      <c r="J20" s="12"/>
      <c r="K20" s="13"/>
      <c r="L20" s="3"/>
      <c r="M20" s="12"/>
      <c r="N20" s="13"/>
      <c r="P20" s="2" t="s">
        <v>10</v>
      </c>
      <c r="Q20" s="7">
        <f>SUMIF(D5:D16,"Nov",F5:F16)</f>
        <v>134000</v>
      </c>
      <c r="R20" s="7">
        <f>SUMIF(D5:D16,"Nov",G5:G16)</f>
        <v>134500</v>
      </c>
    </row>
    <row r="21" spans="4:18" ht="15.6" thickTop="1" thickBot="1">
      <c r="P21" s="2" t="s">
        <v>11</v>
      </c>
      <c r="Q21" s="7">
        <f>SUMIF(D5:D16,"Dec",F5:F16)</f>
        <v>144000</v>
      </c>
      <c r="R21" s="7">
        <f>SUMIF(D5:D16,"Dec",G5:G16)</f>
        <v>150000</v>
      </c>
    </row>
    <row r="22" spans="4:18" ht="30" thickTop="1" thickBot="1">
      <c r="D22" s="1" t="s">
        <v>0</v>
      </c>
      <c r="E22" s="1" t="s">
        <v>23</v>
      </c>
    </row>
    <row r="23" spans="4:18" ht="15.6" thickTop="1" thickBot="1">
      <c r="D23" s="2" t="s">
        <v>5</v>
      </c>
      <c r="E23" s="7">
        <f>SUMIF(D5:D16,"Oct",K5:K16)</f>
        <v>215000</v>
      </c>
    </row>
    <row r="24" spans="4:18" ht="15.6" thickTop="1" thickBot="1">
      <c r="D24" s="2" t="s">
        <v>10</v>
      </c>
      <c r="E24" s="7">
        <f>SUMIF(D5:D16,"Nov",K5:K16)</f>
        <v>225000</v>
      </c>
    </row>
    <row r="25" spans="4:18" ht="15.6" thickTop="1" thickBot="1">
      <c r="D25" s="2" t="s">
        <v>11</v>
      </c>
      <c r="E25" s="7">
        <f>SUMIF(D5:D16,"Dec",K5:K16)</f>
        <v>246000</v>
      </c>
    </row>
    <row r="26" spans="4:18" ht="15" thickTop="1"/>
  </sheetData>
  <mergeCells count="9">
    <mergeCell ref="D2:M3"/>
    <mergeCell ref="D18:E18"/>
    <mergeCell ref="G18:H18"/>
    <mergeCell ref="J18:K18"/>
    <mergeCell ref="M18:N18"/>
    <mergeCell ref="D19:E20"/>
    <mergeCell ref="G19:H20"/>
    <mergeCell ref="J19:K20"/>
    <mergeCell ref="M19:N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Vighne</dc:creator>
  <cp:lastModifiedBy>Sumit Vighne</cp:lastModifiedBy>
  <dcterms:created xsi:type="dcterms:W3CDTF">2026-02-15T07:19:36Z</dcterms:created>
  <dcterms:modified xsi:type="dcterms:W3CDTF">2026-02-16T17:26:29Z</dcterms:modified>
</cp:coreProperties>
</file>
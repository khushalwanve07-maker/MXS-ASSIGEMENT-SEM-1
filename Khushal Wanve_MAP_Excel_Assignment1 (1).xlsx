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Screenshots\Assignment\"/>
    </mc:Choice>
  </mc:AlternateContent>
  <xr:revisionPtr revIDLastSave="0" documentId="13_ncr:1_{FEB7886C-CF78-4C9C-9C7A-0EAFA010349A}" xr6:coauthVersionLast="47" xr6:coauthVersionMax="47" xr10:uidLastSave="{00000000-0000-0000-0000-000000000000}"/>
  <bookViews>
    <workbookView xWindow="-108" yWindow="-108" windowWidth="23256" windowHeight="12456" activeTab="1" xr2:uid="{51211B19-3602-4650-BF46-487CDA96969E}"/>
  </bookViews>
  <sheets>
    <sheet name="Sheet3" sheetId="3" r:id="rId1"/>
    <sheet name="Sales Data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 a="1"/>
  <c r="I30" i="1" s="1"/>
  <c r="I36" i="1"/>
  <c r="E38" i="1"/>
  <c r="I7" i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I14" i="1"/>
  <c r="I15" i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I22" i="1"/>
  <c r="J22" i="1" s="1"/>
  <c r="I23" i="1"/>
  <c r="I24" i="1"/>
  <c r="J24" i="1" s="1"/>
  <c r="K24" i="1" s="1"/>
  <c r="I6" i="1"/>
  <c r="J6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K6" i="1" l="1"/>
  <c r="N24" i="1"/>
  <c r="L24" i="1"/>
  <c r="M24" i="1" s="1"/>
  <c r="N20" i="1"/>
  <c r="L20" i="1"/>
  <c r="M20" i="1" s="1"/>
  <c r="L18" i="1"/>
  <c r="M18" i="1" s="1"/>
  <c r="N18" i="1"/>
  <c r="N11" i="1"/>
  <c r="L11" i="1"/>
  <c r="M11" i="1" s="1"/>
  <c r="N16" i="1"/>
  <c r="L16" i="1"/>
  <c r="M16" i="1" s="1"/>
  <c r="L9" i="1"/>
  <c r="M9" i="1" s="1"/>
  <c r="N9" i="1"/>
  <c r="L12" i="1"/>
  <c r="M12" i="1" s="1"/>
  <c r="N12" i="1"/>
  <c r="L19" i="1"/>
  <c r="M19" i="1" s="1"/>
  <c r="N19" i="1"/>
  <c r="L17" i="1"/>
  <c r="M17" i="1" s="1"/>
  <c r="N17" i="1"/>
  <c r="L10" i="1"/>
  <c r="M10" i="1" s="1"/>
  <c r="N10" i="1"/>
  <c r="L8" i="1"/>
  <c r="M8" i="1" s="1"/>
  <c r="N8" i="1"/>
  <c r="J23" i="1"/>
  <c r="K23" i="1" s="1"/>
  <c r="J14" i="1"/>
  <c r="K14" i="1" s="1"/>
  <c r="J7" i="1"/>
  <c r="K7" i="1" s="1"/>
  <c r="J13" i="1"/>
  <c r="K13" i="1" s="1"/>
  <c r="K22" i="1"/>
  <c r="J15" i="1"/>
  <c r="K15" i="1" s="1"/>
  <c r="J21" i="1"/>
  <c r="K21" i="1" s="1"/>
  <c r="L6" i="1" l="1"/>
  <c r="M6" i="1"/>
  <c r="K30" i="1" s="1"/>
  <c r="E36" i="1"/>
  <c r="N6" i="1"/>
  <c r="L13" i="1"/>
  <c r="M13" i="1" s="1"/>
  <c r="N13" i="1"/>
  <c r="N15" i="1"/>
  <c r="L15" i="1"/>
  <c r="M15" i="1" s="1"/>
  <c r="L14" i="1"/>
  <c r="M14" i="1" s="1"/>
  <c r="N14" i="1"/>
  <c r="N21" i="1"/>
  <c r="L21" i="1"/>
  <c r="M21" i="1" s="1"/>
  <c r="L22" i="1"/>
  <c r="M22" i="1" s="1"/>
  <c r="N22" i="1"/>
  <c r="N7" i="1"/>
  <c r="L7" i="1"/>
  <c r="M7" i="1" s="1"/>
  <c r="N23" i="1"/>
  <c r="L23" i="1"/>
  <c r="M23" i="1" s="1"/>
  <c r="E34" i="1" l="1"/>
  <c r="E32" i="1"/>
  <c r="E30" i="1"/>
  <c r="E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<sst xmlns="http://schemas.openxmlformats.org/spreadsheetml/2006/main" count="78" uniqueCount="39">
  <si>
    <t>Date</t>
  </si>
  <si>
    <t>Region</t>
  </si>
  <si>
    <t>Product Category</t>
  </si>
  <si>
    <t>Units Sold</t>
  </si>
  <si>
    <t>Unit Price</t>
  </si>
  <si>
    <t>Discount %</t>
  </si>
  <si>
    <t>Gross Sales</t>
  </si>
  <si>
    <t>Discount Amount</t>
  </si>
  <si>
    <t>Net Sales</t>
  </si>
  <si>
    <t>Tax (18%)</t>
  </si>
  <si>
    <t>Total Revenue</t>
  </si>
  <si>
    <t>Performance Status</t>
  </si>
  <si>
    <t>Total</t>
  </si>
  <si>
    <t>Home Decor</t>
  </si>
  <si>
    <t>Electronics</t>
  </si>
  <si>
    <t>Apparel</t>
  </si>
  <si>
    <t>East</t>
  </si>
  <si>
    <t>West</t>
  </si>
  <si>
    <t>North</t>
  </si>
  <si>
    <t>South</t>
  </si>
  <si>
    <t>Summary</t>
  </si>
  <si>
    <t>Sum Of sales</t>
  </si>
  <si>
    <t>Average Order Value</t>
  </si>
  <si>
    <t>Highest Single Sale</t>
  </si>
  <si>
    <t>Transaction Count</t>
  </si>
  <si>
    <t>North Sales</t>
  </si>
  <si>
    <t>Electronics in West</t>
  </si>
  <si>
    <t>Using XLOOKUP</t>
  </si>
  <si>
    <t>Using VLOOKUP</t>
  </si>
  <si>
    <t>Transactino Id</t>
  </si>
  <si>
    <t>PMT Function</t>
  </si>
  <si>
    <t>Loan Amount</t>
  </si>
  <si>
    <t>Annual Interest Rate</t>
  </si>
  <si>
    <t>Loan Tenure (Years)</t>
  </si>
  <si>
    <t>Row Labels</t>
  </si>
  <si>
    <t>Grand Total</t>
  </si>
  <si>
    <t>Column Labels</t>
  </si>
  <si>
    <t>Sum of Net Sales</t>
  </si>
  <si>
    <t>Global-Mart Q4 Performance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</si>
</sst>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 tint="0.24994659260841701"/>
      </left>
      <right style="thick">
        <color theme="1" tint="0.24994659260841701"/>
      </right>
      <top style="thick">
        <color theme="1" tint="0.24994659260841701"/>
      </top>
      <bottom style="thick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6" borderId="7" xfId="0" applyFont="1" applyFill="1" applyBorder="1"/>
    <xf numFmtId="0" fontId="2" fillId="7" borderId="7" xfId="0" applyFont="1" applyFill="1" applyBorder="1"/>
    <xf numFmtId="0" fontId="2" fillId="7" borderId="7" xfId="0" applyFont="1" applyFill="1" applyBorder="1" applyAlignment="1">
      <alignment wrapText="1"/>
    </xf>
    <xf numFmtId="0" fontId="2" fillId="5" borderId="7" xfId="0" applyFont="1" applyFill="1" applyBorder="1"/>
    <xf numFmtId="9" fontId="2" fillId="5" borderId="7" xfId="0" applyNumberFormat="1" applyFont="1" applyFill="1" applyBorder="1"/>
    <xf numFmtId="0" fontId="2" fillId="5" borderId="7" xfId="0" applyFont="1" applyFill="1" applyBorder="1" applyAlignment="1">
      <alignment wrapText="1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NumberFormat="1"/>
    <xf numFmtId="0" fontId="7" fillId="8" borderId="8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2" fillId="3" borderId="8" xfId="0" applyFont="1" applyFill="1" applyBorder="1"/>
    <xf numFmtId="0" fontId="2" fillId="2" borderId="8" xfId="0" applyFont="1" applyFill="1" applyBorder="1"/>
    <xf numFmtId="16" fontId="2" fillId="0" borderId="8" xfId="0" applyNumberFormat="1" applyFont="1" applyBorder="1"/>
    <xf numFmtId="0" fontId="2" fillId="0" borderId="8" xfId="0" applyFont="1" applyBorder="1"/>
    <xf numFmtId="9" fontId="2" fillId="0" borderId="8" xfId="1" applyFont="1" applyBorder="1"/>
    <xf numFmtId="164" fontId="2" fillId="0" borderId="8" xfId="0" applyNumberFormat="1" applyFont="1" applyBorder="1"/>
  </cellXfs>
  <cellStyles count="2">
    <cellStyle name="Normal" xfId="0" builtinId="0"/>
    <cellStyle name="Percent" xfId="1" builtinId="5"/>
  </cellStyles>
  <dxfs count="19"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9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1" formatCode="d\-m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[SumitVighne_MAP_Excel_Assignment1.xlsx]Sheet3!PivotTable1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3782051282051269"/>
              <c:y val="-9.14205344585091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4.1666666666666664E-2"/>
              <c:y val="0.105485232067510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9230769230769173E-2"/>
              <c:y val="8.4388185654008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6.4102564102564395E-3"/>
              <c:y val="-0.161744022503516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Sheet3!$F$2:$F$3</c:f>
              <c:strCache>
                <c:ptCount val="1"/>
                <c:pt idx="0">
                  <c:v>Apparel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2547-4232-B0BF-3A13F2A4D5C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547-4232-B0BF-3A13F2A4D5C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2547-4232-B0BF-3A13F2A4D5C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547-4232-B0BF-3A13F2A4D5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Sheet3!$F$4:$F$8</c:f>
              <c:numCache>
                <c:formatCode>General</c:formatCode>
                <c:ptCount val="4"/>
                <c:pt idx="0">
                  <c:v>142725.24</c:v>
                </c:pt>
                <c:pt idx="1">
                  <c:v>105280.2</c:v>
                </c:pt>
                <c:pt idx="2">
                  <c:v>59630.400000000001</c:v>
                </c:pt>
                <c:pt idx="3">
                  <c:v>332639.02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7-4232-B0BF-3A13F2A4D5CB}"/>
            </c:ext>
          </c:extLst>
        </c:ser>
        <c:ser>
          <c:idx val="1"/>
          <c:order val="1"/>
          <c:tx>
            <c:strRef>
              <c:f>Sheet3!$G$2:$G$3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Sheet3!$G$4:$G$8</c:f>
              <c:numCache>
                <c:formatCode>General</c:formatCode>
                <c:ptCount val="4"/>
                <c:pt idx="0">
                  <c:v>173365.91999999998</c:v>
                </c:pt>
                <c:pt idx="1">
                  <c:v>141627.48000000001</c:v>
                </c:pt>
                <c:pt idx="2">
                  <c:v>35326.160000000003</c:v>
                </c:pt>
                <c:pt idx="3">
                  <c:v>294968.15999999997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107-4FFB-8E8C-01E2B77370BE}"/>
            </c:ext>
          </c:extLst>
        </c:ser>
        <c:ser>
          <c:idx val="2"/>
          <c:order val="2"/>
          <c:tx>
            <c:strRef>
              <c:f>Sheet3!$H$2:$H$3</c:f>
              <c:strCache>
                <c:ptCount val="1"/>
                <c:pt idx="0">
                  <c:v>Home Decor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Sheet3!$H$4:$H$8</c:f>
              <c:numCache>
                <c:formatCode>General</c:formatCode>
                <c:ptCount val="4"/>
                <c:pt idx="0">
                  <c:v>572066.30000000005</c:v>
                </c:pt>
                <c:pt idx="1">
                  <c:v>1479608.7</c:v>
                </c:pt>
                <c:pt idx="2">
                  <c:v>221417.4</c:v>
                </c:pt>
                <c:pt idx="3">
                  <c:v>249194.88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107-4FFB-8E8C-01E2B77370B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[SumitVighne_MAP_Excel_Assignment1.xlsx]Sheet3!PivotTable1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Sheet3!$F$2:$F$3</c:f>
              <c:strCache>
                <c:ptCount val="1"/>
                <c:pt idx="0">
                  <c:v>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Sheet3!$F$4:$F$8</c:f>
              <c:numCache>
                <c:formatCode>General</c:formatCode>
                <c:ptCount val="4"/>
                <c:pt idx="0">
                  <c:v>142725.24</c:v>
                </c:pt>
                <c:pt idx="1">
                  <c:v>105280.2</c:v>
                </c:pt>
                <c:pt idx="2">
                  <c:v>59630.400000000001</c:v>
                </c:pt>
                <c:pt idx="3">
                  <c:v>332639.02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A-4013-86E3-6A9E9E40FA9D}"/>
            </c:ext>
          </c:extLst>
        </c:ser>
        <c:ser>
          <c:idx val="1"/>
          <c:order val="1"/>
          <c:tx>
            <c:strRef>
              <c:f>Sheet3!$G$2:$G$3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Sheet3!$G$4:$G$8</c:f>
              <c:numCache>
                <c:formatCode>General</c:formatCode>
                <c:ptCount val="4"/>
                <c:pt idx="0">
                  <c:v>173365.91999999998</c:v>
                </c:pt>
                <c:pt idx="1">
                  <c:v>141627.48000000001</c:v>
                </c:pt>
                <c:pt idx="2">
                  <c:v>35326.160000000003</c:v>
                </c:pt>
                <c:pt idx="3">
                  <c:v>294968.15999999997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D-434D-A8D9-FDDAFF75B5FF}"/>
            </c:ext>
          </c:extLst>
        </c:ser>
        <c:ser>
          <c:idx val="2"/>
          <c:order val="2"/>
          <c:tx>
            <c:strRef>
              <c:f>Sheet3!$H$2:$H$3</c:f>
              <c:strCache>
                <c:ptCount val="1"/>
                <c:pt idx="0">
                  <c:v>Home Decor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Sheet3!$E$4:$E$8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Sheet3!$H$4:$H$8</c:f>
              <c:numCache>
                <c:formatCode>General</c:formatCode>
                <c:ptCount val="4"/>
                <c:pt idx="0">
                  <c:v>572066.30000000005</c:v>
                </c:pt>
                <c:pt idx="1">
                  <c:v>1479608.7</c:v>
                </c:pt>
                <c:pt idx="2">
                  <c:v>221417.4</c:v>
                </c:pt>
                <c:pt idx="3">
                  <c:v>249194.88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7D-434D-A8D9-FDDAFF75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9561951"/>
        <c:axId val="2059570111"/>
        <c:axId val="0"/>
      </c:bar3DChart>
      <c:catAx>
        <c:axId val="20595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70111"/>
        <c:crosses val="autoZero"/>
        <c:auto val="1"/>
        <c:lblAlgn val="ctr"/>
        <c:lblOffset val="100"/>
        <c:noMultiLvlLbl val="0"/>
      </c:catAx>
      <c:valAx>
        <c:axId val="20595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6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8</xdr:row>
      <xdr:rowOff>121920</xdr:rowOff>
    </xdr:from>
    <xdr:to>
      <xdr:col>8</xdr:col>
      <xdr:colOff>746760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350F0-D318-1E55-C762-F4DCD4611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0</xdr:row>
      <xdr:rowOff>152400</xdr:rowOff>
    </xdr:from>
    <xdr:to>
      <xdr:col>3</xdr:col>
      <xdr:colOff>640080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E8EF63-2509-152C-0F77-B9CC89C3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8.495538657407" createdVersion="8" refreshedVersion="8" minRefreshableVersion="3" recordCount="19" xr:uid="{875B0DEC-0A57-4803-84DF-5EBC35FFE3B9}">
  <cacheSource type="worksheet">
    <worksheetSource ref="B5:N24" sheet="Sales Data"/>
  </cacheSource>
  <cacheFields count="13">
    <cacheField name="Transactino Id" numFmtId="0">
      <sharedItems containsSemiMixedTypes="0" containsString="0" containsNumber="1" containsInteger="1" minValue="1" maxValue="19"/>
    </cacheField>
    <cacheField name="Date" numFmtId="16">
      <sharedItems containsSemiMixedTypes="0" containsNonDate="0" containsDate="1" containsString="0" minDate="2026-10-01T00:00:00" maxDate="2026-12-31T00:00:00"/>
    </cacheField>
    <cacheField name="Region" numFmtId="0">
      <sharedItems count="4">
        <s v="East"/>
        <s v="West"/>
        <s v="North"/>
        <s v="South"/>
      </sharedItems>
    </cacheField>
    <cacheField name="Product Category" numFmtId="0">
      <sharedItems count="3">
        <s v="Home Decor"/>
        <s v="Electronics"/>
        <s v="Apparel"/>
      </sharedItems>
    </cacheField>
    <cacheField name="Units Sold" numFmtId="0">
      <sharedItems containsSemiMixedTypes="0" containsString="0" containsNumber="1" containsInteger="1" minValue="43" maxValue="494"/>
    </cacheField>
    <cacheField name="Unit Price" numFmtId="0">
      <sharedItems containsSemiMixedTypes="0" containsString="0" containsNumber="1" containsInteger="1" minValue="50" maxValue="6565"/>
    </cacheField>
    <cacheField name="Discount %" numFmtId="9">
      <sharedItems containsSemiMixedTypes="0" containsString="0" containsNumber="1" minValue="0.02" maxValue="0.15"/>
    </cacheField>
    <cacheField name="Gross Sales" numFmtId="0">
      <sharedItems containsSemiMixedTypes="0" containsString="0" containsNumber="1" containsInteger="1" minValue="3450" maxValue="1470560"/>
    </cacheField>
    <cacheField name="Discount Amount" numFmtId="0">
      <sharedItems containsSemiMixedTypes="0" containsString="0" containsNumber="1" minValue="254.88" maxValue="102939.20000000001"/>
    </cacheField>
    <cacheField name="Net Sales" numFmtId="0">
      <sharedItems containsSemiMixedTypes="0" containsString="0" containsNumber="1" minValue="3036" maxValue="1367620.8"/>
    </cacheField>
    <cacheField name="Tax (18%)" numFmtId="164">
      <sharedItems containsSemiMixedTypes="0" containsString="0" containsNumber="1" minValue="546.48" maxValue="246171.74400000001"/>
    </cacheField>
    <cacheField name="Total Revenue" numFmtId="164">
      <sharedItems containsSemiMixedTypes="0" containsString="0" containsNumber="1" minValue="3582.48" maxValue="1613792.544"/>
    </cacheField>
    <cacheField name="Performanc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d v="2026-10-01T00:00:00"/>
    <x v="0"/>
    <x v="0"/>
    <n v="416"/>
    <n v="800"/>
    <n v="0.11"/>
    <n v="332800"/>
    <n v="36608"/>
    <n v="296192"/>
    <n v="53314.559999999998"/>
    <n v="349506.56"/>
    <s v="High Volume"/>
  </r>
  <r>
    <n v="2"/>
    <d v="2026-10-06T00:00:00"/>
    <x v="1"/>
    <x v="1"/>
    <n v="69"/>
    <n v="50"/>
    <n v="0.12"/>
    <n v="3450"/>
    <n v="414"/>
    <n v="3036"/>
    <n v="546.48"/>
    <n v="3582.48"/>
    <s v="Standard"/>
  </r>
  <r>
    <n v="3"/>
    <d v="2026-10-11T00:00:00"/>
    <x v="2"/>
    <x v="2"/>
    <n v="43"/>
    <n v="150"/>
    <n v="0.08"/>
    <n v="6450"/>
    <n v="516"/>
    <n v="5934"/>
    <n v="1068.1199999999999"/>
    <n v="7002.12"/>
    <s v="Standard"/>
  </r>
  <r>
    <n v="4"/>
    <d v="2026-10-16T00:00:00"/>
    <x v="3"/>
    <x v="0"/>
    <n v="394"/>
    <n v="450"/>
    <n v="7.0000000000000007E-2"/>
    <n v="177300"/>
    <n v="12411.000000000002"/>
    <n v="164889"/>
    <n v="29680.02"/>
    <n v="194569.02"/>
    <s v="Standard"/>
  </r>
  <r>
    <n v="5"/>
    <d v="2026-10-21T00:00:00"/>
    <x v="0"/>
    <x v="1"/>
    <n v="245"/>
    <n v="684"/>
    <n v="0.04"/>
    <n v="167580"/>
    <n v="6703.2"/>
    <n v="160876.79999999999"/>
    <n v="28957.823999999997"/>
    <n v="189834.62399999998"/>
    <s v="Standard"/>
  </r>
  <r>
    <n v="6"/>
    <d v="2026-10-26T00:00:00"/>
    <x v="1"/>
    <x v="2"/>
    <n v="247"/>
    <n v="495"/>
    <n v="0.12"/>
    <n v="122265"/>
    <n v="14671.8"/>
    <n v="107593.2"/>
    <n v="19366.775999999998"/>
    <n v="126959.976"/>
    <s v="Standard"/>
  </r>
  <r>
    <n v="7"/>
    <d v="2026-10-31T00:00:00"/>
    <x v="2"/>
    <x v="0"/>
    <n v="224"/>
    <n v="6565"/>
    <n v="7.0000000000000007E-2"/>
    <n v="1470560"/>
    <n v="102939.20000000001"/>
    <n v="1367620.8"/>
    <n v="246171.74400000001"/>
    <n v="1613792.544"/>
    <s v="High Volume"/>
  </r>
  <r>
    <n v="8"/>
    <d v="2026-11-05T00:00:00"/>
    <x v="3"/>
    <x v="1"/>
    <n v="73"/>
    <n v="526"/>
    <n v="0.08"/>
    <n v="38398"/>
    <n v="3071.84"/>
    <n v="35326.160000000003"/>
    <n v="6358.7088000000003"/>
    <n v="41684.868800000004"/>
    <s v="Standard"/>
  </r>
  <r>
    <n v="9"/>
    <d v="2026-11-10T00:00:00"/>
    <x v="0"/>
    <x v="2"/>
    <n v="162"/>
    <n v="899"/>
    <n v="0.02"/>
    <n v="145638"/>
    <n v="2912.76"/>
    <n v="142725.24"/>
    <n v="25690.543199999996"/>
    <n v="168415.78319999998"/>
    <s v="Standard"/>
  </r>
  <r>
    <n v="10"/>
    <d v="2026-11-15T00:00:00"/>
    <x v="1"/>
    <x v="0"/>
    <n v="324"/>
    <n v="874"/>
    <n v="0.12"/>
    <n v="283176"/>
    <n v="33981.119999999995"/>
    <n v="249194.88"/>
    <n v="44855.078399999999"/>
    <n v="294049.9584"/>
    <s v="Standard"/>
  </r>
  <r>
    <n v="11"/>
    <d v="2026-11-20T00:00:00"/>
    <x v="2"/>
    <x v="1"/>
    <n v="447"/>
    <n v="356"/>
    <n v="0.11"/>
    <n v="159132"/>
    <n v="17504.52"/>
    <n v="141627.48000000001"/>
    <n v="25492.946400000001"/>
    <n v="167120.4264"/>
    <s v="Standard"/>
  </r>
  <r>
    <n v="12"/>
    <d v="2026-11-25T00:00:00"/>
    <x v="3"/>
    <x v="2"/>
    <n v="101"/>
    <n v="656"/>
    <n v="0.1"/>
    <n v="66256"/>
    <n v="6625.6"/>
    <n v="59630.400000000001"/>
    <n v="10733.472"/>
    <n v="70363.872000000003"/>
    <s v="Standard"/>
  </r>
  <r>
    <n v="13"/>
    <d v="2026-11-30T00:00:00"/>
    <x v="0"/>
    <x v="0"/>
    <n v="494"/>
    <n v="657"/>
    <n v="0.15"/>
    <n v="324558"/>
    <n v="48683.7"/>
    <n v="275874.3"/>
    <n v="49657.373999999996"/>
    <n v="325531.674"/>
    <s v="High Volume"/>
  </r>
  <r>
    <n v="14"/>
    <d v="2026-12-05T00:00:00"/>
    <x v="1"/>
    <x v="1"/>
    <n v="384"/>
    <n v="884"/>
    <n v="0.14000000000000001"/>
    <n v="339456"/>
    <n v="47523.840000000004"/>
    <n v="291932.15999999997"/>
    <n v="52547.788799999995"/>
    <n v="344479.94879999995"/>
    <s v="High Volume"/>
  </r>
  <r>
    <n v="15"/>
    <d v="2026-12-10T00:00:00"/>
    <x v="2"/>
    <x v="2"/>
    <n v="313"/>
    <n v="345"/>
    <n v="0.08"/>
    <n v="107985"/>
    <n v="8638.7999999999993"/>
    <n v="99346.2"/>
    <n v="17882.315999999999"/>
    <n v="117228.516"/>
    <s v="Standard"/>
  </r>
  <r>
    <n v="16"/>
    <d v="2026-12-15T00:00:00"/>
    <x v="3"/>
    <x v="0"/>
    <n v="204"/>
    <n v="326"/>
    <n v="0.15"/>
    <n v="66504"/>
    <n v="9975.6"/>
    <n v="56528.4"/>
    <n v="10175.111999999999"/>
    <n v="66703.512000000002"/>
    <s v="Standard"/>
  </r>
  <r>
    <n v="17"/>
    <d v="2026-12-20T00:00:00"/>
    <x v="0"/>
    <x v="1"/>
    <n v="54"/>
    <n v="236"/>
    <n v="0.02"/>
    <n v="12744"/>
    <n v="254.88"/>
    <n v="12489.12"/>
    <n v="2248.0416"/>
    <n v="14737.161600000001"/>
    <s v="Standard"/>
  </r>
  <r>
    <n v="18"/>
    <d v="2026-12-25T00:00:00"/>
    <x v="1"/>
    <x v="2"/>
    <n v="373"/>
    <n v="622"/>
    <n v="0.03"/>
    <n v="232006"/>
    <n v="6960.1799999999994"/>
    <n v="225045.82"/>
    <n v="40508.247600000002"/>
    <n v="265554.06760000001"/>
    <s v="Standard"/>
  </r>
  <r>
    <n v="19"/>
    <d v="2026-12-30T00:00:00"/>
    <x v="2"/>
    <x v="0"/>
    <n v="333"/>
    <n v="354"/>
    <n v="0.05"/>
    <n v="117882"/>
    <n v="5894.1"/>
    <n v="111987.9"/>
    <n v="20157.821999999996"/>
    <n v="132145.72199999998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9302F-AE4A-42C0-9B5D-83162EE27D3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E2:I8" firstHeaderRow="1" firstDataRow="2" firstDataCol="1"/>
  <pivotFields count="13">
    <pivotField showAll="0"/>
    <pivotField numFmtId="16" showAll="0"/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numFmtId="9" showAll="0"/>
    <pivotField showAll="0"/>
    <pivotField showAll="0"/>
    <pivotField dataField="1" showAll="0"/>
    <pivotField numFmtId="164" showAll="0"/>
    <pivotField numFmtId="16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Net Sales" fld="9" baseField="0" baseItem="0"/>
  </dataFields>
  <chartFormats count="19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A5B1A-739B-4CE4-BABF-7A8B00D320AC}" name="Table1" displayName="Table1" ref="C5:N24" headerRowDxfId="1" dataDxfId="18" totalsRowDxfId="0">
  <autoFilter ref="C5:N24" xr:uid="{767A5B1A-739B-4CE4-BABF-7A8B00D320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F60F165-B946-424F-9BD4-A916449F03FA}" name="Date" totalsRowLabel="Total" dataDxfId="13">
      <calculatedColumnFormula>C5+5</calculatedColumnFormula>
    </tableColumn>
    <tableColumn id="2" xr3:uid="{4FFD3919-38BA-44DA-96BA-07FD084945AE}" name="Region" dataDxfId="12">
      <calculatedColumnFormula>CHOOSE(RANDBETWEEN(1,4),"North","South","East","West")</calculatedColumnFormula>
    </tableColumn>
    <tableColumn id="3" xr3:uid="{7079C461-803F-4B3C-9985-779205B806DE}" name="Product Category" dataDxfId="11">
      <calculatedColumnFormula>CHOOSE(RANDBETWEEN(1,3),"Electronics","Apparel","Home Decor")</calculatedColumnFormula>
    </tableColumn>
    <tableColumn id="4" xr3:uid="{F40DE00B-645E-4662-BB4D-B10E1FDE01ED}" name="Units Sold" dataDxfId="10">
      <calculatedColumnFormula>RANDBETWEEN(10,500)</calculatedColumnFormula>
    </tableColumn>
    <tableColumn id="5" xr3:uid="{D6780842-609E-4B69-BDA2-8C0EDAB9B222}" name="Unit Price" dataDxfId="9"/>
    <tableColumn id="6" xr3:uid="{3BF42D62-E605-4059-BCCB-B9A1E576ADCA}" name="Discount %" dataDxfId="8" dataCellStyle="Percent">
      <calculatedColumnFormula>RANDBETWEEN(0,15)/100</calculatedColumnFormula>
    </tableColumn>
    <tableColumn id="7" xr3:uid="{DCCE49B0-EAA0-4866-9503-ACD3EC1F565F}" name="Gross Sales" dataDxfId="7">
      <calculatedColumnFormula>Table1[[#This Row],[Units Sold]]*Table1[[#This Row],[Unit Price]]</calculatedColumnFormula>
    </tableColumn>
    <tableColumn id="8" xr3:uid="{13E60C25-E441-443B-8ECC-1ED65B2003EF}" name="Discount Amount" dataDxfId="6">
      <calculatedColumnFormula>Table1[[#This Row],[Gross Sales]]*Table1[[#This Row],[Discount %]]</calculatedColumnFormula>
    </tableColumn>
    <tableColumn id="9" xr3:uid="{584E98A9-6D06-497B-B29A-547D94C45F62}" name="Net Sales" dataDxfId="5">
      <calculatedColumnFormula>Table1[[#This Row],[Gross Sales]]-Table1[[#This Row],[Discount Amount]]</calculatedColumnFormula>
    </tableColumn>
    <tableColumn id="10" xr3:uid="{B504745F-41DE-4BBF-A2C7-82CC903236F7}" name="Tax (18%)" dataDxfId="4">
      <calculatedColumnFormula>Table1[[#This Row],[Net Sales]]*0.18</calculatedColumnFormula>
    </tableColumn>
    <tableColumn id="11" xr3:uid="{177428F1-A005-475B-9AD0-ACD37A8F110F}" name="Total Revenue" dataDxfId="3">
      <calculatedColumnFormula>Table1[[#This Row],[Net Sales]]+Table1[[#This Row],[Tax (18%)]]</calculatedColumnFormula>
    </tableColumn>
    <tableColumn id="12" xr3:uid="{FC217282-DCDE-4998-968F-889BDEC5CF2A}" name="Performance Status" totalsRowFunction="count" dataDxfId="2">
      <calculatedColumnFormula>IF(Table1[[#This Row],[Net Sales]]&gt;250000,"High Volume","Standard")</calculatedColumnFormula>
    </tableColumn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A770-C1D2-4AE8-988B-714956B65BB1}">
  <dimension ref="E2:I8"/>
  <sheetViews>
    <sheetView workbookViewId="0">
      <selection activeCell="L18" sqref="L18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10" bestFit="1" customWidth="1"/>
    <col min="4" max="4" width="11.33203125" bestFit="1" customWidth="1"/>
    <col min="5" max="5" width="15.21875" bestFit="1" customWidth="1"/>
    <col min="6" max="6" width="15.5546875" bestFit="1" customWidth="1"/>
    <col min="7" max="7" width="10" bestFit="1" customWidth="1"/>
    <col min="8" max="8" width="11.33203125" bestFit="1" customWidth="1"/>
    <col min="9" max="9" width="11" bestFit="1" customWidth="1"/>
  </cols>
  <sheetData>
    <row r="2" spans="5:9" x14ac:dyDescent="0.3">
      <c r="E2" s="1" t="s">
        <v>37</v>
      </c>
      <c r="F2" s="1" t="s">
        <v>36</v>
      </c>
    </row>
    <row r="3" spans="5:9" x14ac:dyDescent="0.3">
      <c r="E3" s="1" t="s">
        <v>34</v>
      </c>
      <c r="F3" t="s">
        <v>15</v>
      </c>
      <c r="G3" t="s">
        <v>14</v>
      </c>
      <c r="H3" t="s">
        <v>13</v>
      </c>
      <c r="I3" t="s">
        <v>35</v>
      </c>
    </row>
    <row r="4" spans="5:9" x14ac:dyDescent="0.3">
      <c r="E4" s="2" t="s">
        <v>16</v>
      </c>
      <c r="F4" s="30">
        <v>142725.24</v>
      </c>
      <c r="G4" s="30">
        <v>173365.91999999998</v>
      </c>
      <c r="H4" s="30">
        <v>572066.30000000005</v>
      </c>
      <c r="I4" s="30">
        <v>888157.46</v>
      </c>
    </row>
    <row r="5" spans="5:9" x14ac:dyDescent="0.3">
      <c r="E5" s="2" t="s">
        <v>18</v>
      </c>
      <c r="F5" s="30">
        <v>105280.2</v>
      </c>
      <c r="G5" s="30">
        <v>141627.48000000001</v>
      </c>
      <c r="H5" s="30">
        <v>1479608.7</v>
      </c>
      <c r="I5" s="30">
        <v>1726516.38</v>
      </c>
    </row>
    <row r="6" spans="5:9" x14ac:dyDescent="0.3">
      <c r="E6" s="2" t="s">
        <v>19</v>
      </c>
      <c r="F6" s="30">
        <v>59630.400000000001</v>
      </c>
      <c r="G6" s="30">
        <v>35326.160000000003</v>
      </c>
      <c r="H6" s="30">
        <v>221417.4</v>
      </c>
      <c r="I6" s="30">
        <v>316373.95999999996</v>
      </c>
    </row>
    <row r="7" spans="5:9" x14ac:dyDescent="0.3">
      <c r="E7" s="2" t="s">
        <v>17</v>
      </c>
      <c r="F7" s="30">
        <v>332639.02</v>
      </c>
      <c r="G7" s="30">
        <v>294968.15999999997</v>
      </c>
      <c r="H7" s="30">
        <v>249194.88</v>
      </c>
      <c r="I7" s="30">
        <v>876802.05999999994</v>
      </c>
    </row>
    <row r="8" spans="5:9" x14ac:dyDescent="0.3">
      <c r="E8" s="2" t="s">
        <v>35</v>
      </c>
      <c r="F8" s="30">
        <v>640274.8600000001</v>
      </c>
      <c r="G8" s="30">
        <v>645287.72</v>
      </c>
      <c r="H8" s="30">
        <v>2522287.2799999998</v>
      </c>
      <c r="I8" s="30">
        <v>3807849.86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2A70-A1A0-4402-B03D-A38B22AF18A2}">
  <dimension ref="B3:N41"/>
  <sheetViews>
    <sheetView tabSelected="1" workbookViewId="0">
      <pane ySplit="1" topLeftCell="A2" activePane="bottomLeft" state="frozen"/>
      <selection pane="bottomLeft" activeCell="I30" sqref="I30:J31"/>
    </sheetView>
  </sheetViews>
  <sheetFormatPr defaultRowHeight="14.4" x14ac:dyDescent="0.3"/>
  <cols>
    <col min="2" max="2" width="12.88671875" bestFit="1" customWidth="1"/>
    <col min="3" max="4" width="10.44140625" customWidth="1"/>
    <col min="5" max="5" width="17.5546875" customWidth="1"/>
    <col min="6" max="6" width="11.33203125" customWidth="1"/>
    <col min="7" max="7" width="11" customWidth="1"/>
    <col min="8" max="9" width="12.109375" customWidth="1"/>
    <col min="10" max="10" width="17.5546875" customWidth="1"/>
    <col min="11" max="11" width="10.5546875" customWidth="1"/>
    <col min="12" max="12" width="11" customWidth="1"/>
    <col min="13" max="13" width="14.88671875" customWidth="1"/>
    <col min="14" max="14" width="19.44140625" customWidth="1"/>
  </cols>
  <sheetData>
    <row r="3" spans="2:14" x14ac:dyDescent="0.3">
      <c r="B3" s="31" t="s">
        <v>38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2:14" x14ac:dyDescent="0.3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2:14" x14ac:dyDescent="0.3">
      <c r="B5" s="33" t="s">
        <v>29</v>
      </c>
      <c r="C5" s="33" t="s">
        <v>0</v>
      </c>
      <c r="D5" s="33" t="s">
        <v>1</v>
      </c>
      <c r="E5" s="33" t="s">
        <v>2</v>
      </c>
      <c r="F5" s="33" t="s">
        <v>3</v>
      </c>
      <c r="G5" s="33" t="s">
        <v>4</v>
      </c>
      <c r="H5" s="33" t="s">
        <v>5</v>
      </c>
      <c r="I5" s="33" t="s">
        <v>6</v>
      </c>
      <c r="J5" s="33" t="s">
        <v>7</v>
      </c>
      <c r="K5" s="33" t="s">
        <v>8</v>
      </c>
      <c r="L5" s="33" t="s">
        <v>9</v>
      </c>
      <c r="M5" s="33" t="s">
        <v>10</v>
      </c>
      <c r="N5" s="33" t="s">
        <v>11</v>
      </c>
    </row>
    <row r="6" spans="2:14" x14ac:dyDescent="0.3">
      <c r="B6" s="34">
        <v>1</v>
      </c>
      <c r="C6" s="35">
        <v>46296</v>
      </c>
      <c r="D6" s="36" t="s">
        <v>16</v>
      </c>
      <c r="E6" s="36" t="s">
        <v>13</v>
      </c>
      <c r="F6" s="36">
        <v>416</v>
      </c>
      <c r="G6" s="36">
        <v>800</v>
      </c>
      <c r="H6" s="37">
        <v>0.11</v>
      </c>
      <c r="I6" s="36">
        <f>Table1[[#This Row],[Units Sold]]*Table1[[#This Row],[Unit Price]]</f>
        <v>332800</v>
      </c>
      <c r="J6" s="36">
        <f>Table1[[#This Row],[Gross Sales]]*Table1[[#This Row],[Discount %]]</f>
        <v>36608</v>
      </c>
      <c r="K6" s="36">
        <f>Table1[[#This Row],[Gross Sales]]-Table1[[#This Row],[Discount Amount]]</f>
        <v>296192</v>
      </c>
      <c r="L6" s="38">
        <f>Table1[[#This Row],[Net Sales]]*0.18</f>
        <v>53314.559999999998</v>
      </c>
      <c r="M6" s="38">
        <f>Table1[[#This Row],[Net Sales]]+Table1[[#This Row],[Tax (18%)]]</f>
        <v>349506.56</v>
      </c>
      <c r="N6" s="36" t="str">
        <f>IF(Table1[[#This Row],[Net Sales]]&gt;250000,"High Volume","Standard")</f>
        <v>High Volume</v>
      </c>
    </row>
    <row r="7" spans="2:14" x14ac:dyDescent="0.3">
      <c r="B7" s="36">
        <v>2</v>
      </c>
      <c r="C7" s="35">
        <f>C6+5</f>
        <v>46301</v>
      </c>
      <c r="D7" s="36" t="s">
        <v>17</v>
      </c>
      <c r="E7" s="36" t="s">
        <v>14</v>
      </c>
      <c r="F7" s="36">
        <v>69</v>
      </c>
      <c r="G7" s="36">
        <v>50</v>
      </c>
      <c r="H7" s="37">
        <v>0.12</v>
      </c>
      <c r="I7" s="36">
        <f>Table1[[#This Row],[Units Sold]]*Table1[[#This Row],[Unit Price]]</f>
        <v>3450</v>
      </c>
      <c r="J7" s="36">
        <f>Table1[[#This Row],[Gross Sales]]*Table1[[#This Row],[Discount %]]</f>
        <v>414</v>
      </c>
      <c r="K7" s="36">
        <f>Table1[[#This Row],[Gross Sales]]-Table1[[#This Row],[Discount Amount]]</f>
        <v>3036</v>
      </c>
      <c r="L7" s="38">
        <f>Table1[[#This Row],[Net Sales]]*0.18</f>
        <v>546.48</v>
      </c>
      <c r="M7" s="38">
        <f>Table1[[#This Row],[Net Sales]]+Table1[[#This Row],[Tax (18%)]]</f>
        <v>3582.48</v>
      </c>
      <c r="N7" s="36" t="str">
        <f>IF(Table1[[#This Row],[Net Sales]]&gt;250000,"High Volume","Standard")</f>
        <v>Standard</v>
      </c>
    </row>
    <row r="8" spans="2:14" x14ac:dyDescent="0.3">
      <c r="B8" s="34">
        <v>3</v>
      </c>
      <c r="C8" s="35">
        <f t="shared" ref="C8:C23" si="0">C7+5</f>
        <v>46306</v>
      </c>
      <c r="D8" s="36" t="s">
        <v>18</v>
      </c>
      <c r="E8" s="36" t="s">
        <v>15</v>
      </c>
      <c r="F8" s="36">
        <v>43</v>
      </c>
      <c r="G8" s="36">
        <v>150</v>
      </c>
      <c r="H8" s="37">
        <v>0.08</v>
      </c>
      <c r="I8" s="36">
        <f>Table1[[#This Row],[Units Sold]]*Table1[[#This Row],[Unit Price]]</f>
        <v>6450</v>
      </c>
      <c r="J8" s="36">
        <f>Table1[[#This Row],[Gross Sales]]*Table1[[#This Row],[Discount %]]</f>
        <v>516</v>
      </c>
      <c r="K8" s="36">
        <f>Table1[[#This Row],[Gross Sales]]-Table1[[#This Row],[Discount Amount]]</f>
        <v>5934</v>
      </c>
      <c r="L8" s="38">
        <f>Table1[[#This Row],[Net Sales]]*0.18</f>
        <v>1068.1199999999999</v>
      </c>
      <c r="M8" s="38">
        <f>Table1[[#This Row],[Net Sales]]+Table1[[#This Row],[Tax (18%)]]</f>
        <v>7002.12</v>
      </c>
      <c r="N8" s="36" t="str">
        <f>IF(Table1[[#This Row],[Net Sales]]&gt;250000,"High Volume","Standard")</f>
        <v>Standard</v>
      </c>
    </row>
    <row r="9" spans="2:14" x14ac:dyDescent="0.3">
      <c r="B9" s="36">
        <v>4</v>
      </c>
      <c r="C9" s="35">
        <f t="shared" si="0"/>
        <v>46311</v>
      </c>
      <c r="D9" s="36" t="s">
        <v>19</v>
      </c>
      <c r="E9" s="36" t="s">
        <v>13</v>
      </c>
      <c r="F9" s="36">
        <v>394</v>
      </c>
      <c r="G9" s="36">
        <v>450</v>
      </c>
      <c r="H9" s="37">
        <v>7.0000000000000007E-2</v>
      </c>
      <c r="I9" s="36">
        <f>Table1[[#This Row],[Units Sold]]*Table1[[#This Row],[Unit Price]]</f>
        <v>177300</v>
      </c>
      <c r="J9" s="36">
        <f>Table1[[#This Row],[Gross Sales]]*Table1[[#This Row],[Discount %]]</f>
        <v>12411.000000000002</v>
      </c>
      <c r="K9" s="36">
        <f>Table1[[#This Row],[Gross Sales]]-Table1[[#This Row],[Discount Amount]]</f>
        <v>164889</v>
      </c>
      <c r="L9" s="38">
        <f>Table1[[#This Row],[Net Sales]]*0.18</f>
        <v>29680.02</v>
      </c>
      <c r="M9" s="38">
        <f>Table1[[#This Row],[Net Sales]]+Table1[[#This Row],[Tax (18%)]]</f>
        <v>194569.02</v>
      </c>
      <c r="N9" s="36" t="str">
        <f>IF(Table1[[#This Row],[Net Sales]]&gt;250000,"High Volume","Standard")</f>
        <v>Standard</v>
      </c>
    </row>
    <row r="10" spans="2:14" x14ac:dyDescent="0.3">
      <c r="B10" s="34">
        <v>5</v>
      </c>
      <c r="C10" s="35">
        <f t="shared" si="0"/>
        <v>46316</v>
      </c>
      <c r="D10" s="36" t="s">
        <v>16</v>
      </c>
      <c r="E10" s="36" t="s">
        <v>14</v>
      </c>
      <c r="F10" s="36">
        <v>245</v>
      </c>
      <c r="G10" s="36">
        <v>684</v>
      </c>
      <c r="H10" s="37">
        <v>0.04</v>
      </c>
      <c r="I10" s="36">
        <f>Table1[[#This Row],[Units Sold]]*Table1[[#This Row],[Unit Price]]</f>
        <v>167580</v>
      </c>
      <c r="J10" s="36">
        <f>Table1[[#This Row],[Gross Sales]]*Table1[[#This Row],[Discount %]]</f>
        <v>6703.2</v>
      </c>
      <c r="K10" s="36">
        <f>Table1[[#This Row],[Gross Sales]]-Table1[[#This Row],[Discount Amount]]</f>
        <v>160876.79999999999</v>
      </c>
      <c r="L10" s="38">
        <f>Table1[[#This Row],[Net Sales]]*0.18</f>
        <v>28957.823999999997</v>
      </c>
      <c r="M10" s="38">
        <f>Table1[[#This Row],[Net Sales]]+Table1[[#This Row],[Tax (18%)]]</f>
        <v>189834.62399999998</v>
      </c>
      <c r="N10" s="36" t="str">
        <f>IF(Table1[[#This Row],[Net Sales]]&gt;250000,"High Volume","Standard")</f>
        <v>Standard</v>
      </c>
    </row>
    <row r="11" spans="2:14" x14ac:dyDescent="0.3">
      <c r="B11" s="36">
        <v>6</v>
      </c>
      <c r="C11" s="35">
        <f t="shared" si="0"/>
        <v>46321</v>
      </c>
      <c r="D11" s="36" t="s">
        <v>17</v>
      </c>
      <c r="E11" s="36" t="s">
        <v>15</v>
      </c>
      <c r="F11" s="36">
        <v>247</v>
      </c>
      <c r="G11" s="36">
        <v>495</v>
      </c>
      <c r="H11" s="37">
        <v>0.12</v>
      </c>
      <c r="I11" s="36">
        <f>Table1[[#This Row],[Units Sold]]*Table1[[#This Row],[Unit Price]]</f>
        <v>122265</v>
      </c>
      <c r="J11" s="36">
        <f>Table1[[#This Row],[Gross Sales]]*Table1[[#This Row],[Discount %]]</f>
        <v>14671.8</v>
      </c>
      <c r="K11" s="36">
        <f>Table1[[#This Row],[Gross Sales]]-Table1[[#This Row],[Discount Amount]]</f>
        <v>107593.2</v>
      </c>
      <c r="L11" s="38">
        <f>Table1[[#This Row],[Net Sales]]*0.18</f>
        <v>19366.775999999998</v>
      </c>
      <c r="M11" s="38">
        <f>Table1[[#This Row],[Net Sales]]+Table1[[#This Row],[Tax (18%)]]</f>
        <v>126959.976</v>
      </c>
      <c r="N11" s="36" t="str">
        <f>IF(Table1[[#This Row],[Net Sales]]&gt;250000,"High Volume","Standard")</f>
        <v>Standard</v>
      </c>
    </row>
    <row r="12" spans="2:14" x14ac:dyDescent="0.3">
      <c r="B12" s="34">
        <v>7</v>
      </c>
      <c r="C12" s="35">
        <f t="shared" si="0"/>
        <v>46326</v>
      </c>
      <c r="D12" s="36" t="s">
        <v>18</v>
      </c>
      <c r="E12" s="36" t="s">
        <v>13</v>
      </c>
      <c r="F12" s="36">
        <v>224</v>
      </c>
      <c r="G12" s="36">
        <v>6565</v>
      </c>
      <c r="H12" s="37">
        <v>7.0000000000000007E-2</v>
      </c>
      <c r="I12" s="36">
        <f>Table1[[#This Row],[Units Sold]]*Table1[[#This Row],[Unit Price]]</f>
        <v>1470560</v>
      </c>
      <c r="J12" s="36">
        <f>Table1[[#This Row],[Gross Sales]]*Table1[[#This Row],[Discount %]]</f>
        <v>102939.20000000001</v>
      </c>
      <c r="K12" s="36">
        <f>Table1[[#This Row],[Gross Sales]]-Table1[[#This Row],[Discount Amount]]</f>
        <v>1367620.8</v>
      </c>
      <c r="L12" s="38">
        <f>Table1[[#This Row],[Net Sales]]*0.18</f>
        <v>246171.74400000001</v>
      </c>
      <c r="M12" s="38">
        <f>Table1[[#This Row],[Net Sales]]+Table1[[#This Row],[Tax (18%)]]</f>
        <v>1613792.544</v>
      </c>
      <c r="N12" s="36" t="str">
        <f>IF(Table1[[#This Row],[Net Sales]]&gt;250000,"High Volume","Standard")</f>
        <v>High Volume</v>
      </c>
    </row>
    <row r="13" spans="2:14" x14ac:dyDescent="0.3">
      <c r="B13" s="36">
        <v>8</v>
      </c>
      <c r="C13" s="35">
        <f t="shared" si="0"/>
        <v>46331</v>
      </c>
      <c r="D13" s="36" t="s">
        <v>19</v>
      </c>
      <c r="E13" s="36" t="s">
        <v>14</v>
      </c>
      <c r="F13" s="36">
        <v>73</v>
      </c>
      <c r="G13" s="36">
        <v>526</v>
      </c>
      <c r="H13" s="37">
        <v>0.08</v>
      </c>
      <c r="I13" s="36">
        <f>Table1[[#This Row],[Units Sold]]*Table1[[#This Row],[Unit Price]]</f>
        <v>38398</v>
      </c>
      <c r="J13" s="36">
        <f>Table1[[#This Row],[Gross Sales]]*Table1[[#This Row],[Discount %]]</f>
        <v>3071.84</v>
      </c>
      <c r="K13" s="36">
        <f>Table1[[#This Row],[Gross Sales]]-Table1[[#This Row],[Discount Amount]]</f>
        <v>35326.160000000003</v>
      </c>
      <c r="L13" s="38">
        <f>Table1[[#This Row],[Net Sales]]*0.18</f>
        <v>6358.7088000000003</v>
      </c>
      <c r="M13" s="38">
        <f>Table1[[#This Row],[Net Sales]]+Table1[[#This Row],[Tax (18%)]]</f>
        <v>41684.868800000004</v>
      </c>
      <c r="N13" s="36" t="str">
        <f>IF(Table1[[#This Row],[Net Sales]]&gt;250000,"High Volume","Standard")</f>
        <v>Standard</v>
      </c>
    </row>
    <row r="14" spans="2:14" x14ac:dyDescent="0.3">
      <c r="B14" s="34">
        <v>9</v>
      </c>
      <c r="C14" s="35">
        <f t="shared" si="0"/>
        <v>46336</v>
      </c>
      <c r="D14" s="36" t="s">
        <v>16</v>
      </c>
      <c r="E14" s="36" t="s">
        <v>15</v>
      </c>
      <c r="F14" s="36">
        <v>162</v>
      </c>
      <c r="G14" s="36">
        <v>899</v>
      </c>
      <c r="H14" s="37">
        <v>0.02</v>
      </c>
      <c r="I14" s="36">
        <f>Table1[[#This Row],[Units Sold]]*Table1[[#This Row],[Unit Price]]</f>
        <v>145638</v>
      </c>
      <c r="J14" s="36">
        <f>Table1[[#This Row],[Gross Sales]]*Table1[[#This Row],[Discount %]]</f>
        <v>2912.76</v>
      </c>
      <c r="K14" s="36">
        <f>Table1[[#This Row],[Gross Sales]]-Table1[[#This Row],[Discount Amount]]</f>
        <v>142725.24</v>
      </c>
      <c r="L14" s="38">
        <f>Table1[[#This Row],[Net Sales]]*0.18</f>
        <v>25690.543199999996</v>
      </c>
      <c r="M14" s="38">
        <f>Table1[[#This Row],[Net Sales]]+Table1[[#This Row],[Tax (18%)]]</f>
        <v>168415.78319999998</v>
      </c>
      <c r="N14" s="36" t="str">
        <f>IF(Table1[[#This Row],[Net Sales]]&gt;250000,"High Volume","Standard")</f>
        <v>Standard</v>
      </c>
    </row>
    <row r="15" spans="2:14" x14ac:dyDescent="0.3">
      <c r="B15" s="36">
        <v>10</v>
      </c>
      <c r="C15" s="35">
        <f t="shared" si="0"/>
        <v>46341</v>
      </c>
      <c r="D15" s="36" t="s">
        <v>17</v>
      </c>
      <c r="E15" s="36" t="s">
        <v>13</v>
      </c>
      <c r="F15" s="36">
        <v>324</v>
      </c>
      <c r="G15" s="36">
        <v>874</v>
      </c>
      <c r="H15" s="37">
        <v>0.12</v>
      </c>
      <c r="I15" s="36">
        <f>Table1[[#This Row],[Units Sold]]*Table1[[#This Row],[Unit Price]]</f>
        <v>283176</v>
      </c>
      <c r="J15" s="36">
        <f>Table1[[#This Row],[Gross Sales]]*Table1[[#This Row],[Discount %]]</f>
        <v>33981.119999999995</v>
      </c>
      <c r="K15" s="36">
        <f>Table1[[#This Row],[Gross Sales]]-Table1[[#This Row],[Discount Amount]]</f>
        <v>249194.88</v>
      </c>
      <c r="L15" s="38">
        <f>Table1[[#This Row],[Net Sales]]*0.18</f>
        <v>44855.078399999999</v>
      </c>
      <c r="M15" s="38">
        <f>Table1[[#This Row],[Net Sales]]+Table1[[#This Row],[Tax (18%)]]</f>
        <v>294049.9584</v>
      </c>
      <c r="N15" s="36" t="str">
        <f>IF(Table1[[#This Row],[Net Sales]]&gt;250000,"High Volume","Standard")</f>
        <v>Standard</v>
      </c>
    </row>
    <row r="16" spans="2:14" x14ac:dyDescent="0.3">
      <c r="B16" s="34">
        <v>11</v>
      </c>
      <c r="C16" s="35">
        <f t="shared" si="0"/>
        <v>46346</v>
      </c>
      <c r="D16" s="36" t="s">
        <v>18</v>
      </c>
      <c r="E16" s="36" t="s">
        <v>14</v>
      </c>
      <c r="F16" s="36">
        <v>447</v>
      </c>
      <c r="G16" s="36">
        <v>356</v>
      </c>
      <c r="H16" s="37">
        <v>0.11</v>
      </c>
      <c r="I16" s="36">
        <f>Table1[[#This Row],[Units Sold]]*Table1[[#This Row],[Unit Price]]</f>
        <v>159132</v>
      </c>
      <c r="J16" s="36">
        <f>Table1[[#This Row],[Gross Sales]]*Table1[[#This Row],[Discount %]]</f>
        <v>17504.52</v>
      </c>
      <c r="K16" s="36">
        <f>Table1[[#This Row],[Gross Sales]]-Table1[[#This Row],[Discount Amount]]</f>
        <v>141627.48000000001</v>
      </c>
      <c r="L16" s="38">
        <f>Table1[[#This Row],[Net Sales]]*0.18</f>
        <v>25492.946400000001</v>
      </c>
      <c r="M16" s="38">
        <f>Table1[[#This Row],[Net Sales]]+Table1[[#This Row],[Tax (18%)]]</f>
        <v>167120.4264</v>
      </c>
      <c r="N16" s="36" t="str">
        <f>IF(Table1[[#This Row],[Net Sales]]&gt;250000,"High Volume","Standard")</f>
        <v>Standard</v>
      </c>
    </row>
    <row r="17" spans="2:14" x14ac:dyDescent="0.3">
      <c r="B17" s="36">
        <v>12</v>
      </c>
      <c r="C17" s="35">
        <f t="shared" si="0"/>
        <v>46351</v>
      </c>
      <c r="D17" s="36" t="s">
        <v>19</v>
      </c>
      <c r="E17" s="36" t="s">
        <v>15</v>
      </c>
      <c r="F17" s="36">
        <v>101</v>
      </c>
      <c r="G17" s="36">
        <v>656</v>
      </c>
      <c r="H17" s="37">
        <v>0.1</v>
      </c>
      <c r="I17" s="36">
        <f>Table1[[#This Row],[Units Sold]]*Table1[[#This Row],[Unit Price]]</f>
        <v>66256</v>
      </c>
      <c r="J17" s="36">
        <f>Table1[[#This Row],[Gross Sales]]*Table1[[#This Row],[Discount %]]</f>
        <v>6625.6</v>
      </c>
      <c r="K17" s="36">
        <f>Table1[[#This Row],[Gross Sales]]-Table1[[#This Row],[Discount Amount]]</f>
        <v>59630.400000000001</v>
      </c>
      <c r="L17" s="38">
        <f>Table1[[#This Row],[Net Sales]]*0.18</f>
        <v>10733.472</v>
      </c>
      <c r="M17" s="38">
        <f>Table1[[#This Row],[Net Sales]]+Table1[[#This Row],[Tax (18%)]]</f>
        <v>70363.872000000003</v>
      </c>
      <c r="N17" s="36" t="str">
        <f>IF(Table1[[#This Row],[Net Sales]]&gt;250000,"High Volume","Standard")</f>
        <v>Standard</v>
      </c>
    </row>
    <row r="18" spans="2:14" x14ac:dyDescent="0.3">
      <c r="B18" s="34">
        <v>13</v>
      </c>
      <c r="C18" s="35">
        <f t="shared" si="0"/>
        <v>46356</v>
      </c>
      <c r="D18" s="36" t="s">
        <v>16</v>
      </c>
      <c r="E18" s="36" t="s">
        <v>13</v>
      </c>
      <c r="F18" s="36">
        <v>494</v>
      </c>
      <c r="G18" s="36">
        <v>657</v>
      </c>
      <c r="H18" s="37">
        <v>0.15</v>
      </c>
      <c r="I18" s="36">
        <f>Table1[[#This Row],[Units Sold]]*Table1[[#This Row],[Unit Price]]</f>
        <v>324558</v>
      </c>
      <c r="J18" s="36">
        <f>Table1[[#This Row],[Gross Sales]]*Table1[[#This Row],[Discount %]]</f>
        <v>48683.7</v>
      </c>
      <c r="K18" s="36">
        <f>Table1[[#This Row],[Gross Sales]]-Table1[[#This Row],[Discount Amount]]</f>
        <v>275874.3</v>
      </c>
      <c r="L18" s="38">
        <f>Table1[[#This Row],[Net Sales]]*0.18</f>
        <v>49657.373999999996</v>
      </c>
      <c r="M18" s="38">
        <f>Table1[[#This Row],[Net Sales]]+Table1[[#This Row],[Tax (18%)]]</f>
        <v>325531.674</v>
      </c>
      <c r="N18" s="36" t="str">
        <f>IF(Table1[[#This Row],[Net Sales]]&gt;250000,"High Volume","Standard")</f>
        <v>High Volume</v>
      </c>
    </row>
    <row r="19" spans="2:14" x14ac:dyDescent="0.3">
      <c r="B19" s="36">
        <v>14</v>
      </c>
      <c r="C19" s="35">
        <f t="shared" si="0"/>
        <v>46361</v>
      </c>
      <c r="D19" s="36" t="s">
        <v>17</v>
      </c>
      <c r="E19" s="36" t="s">
        <v>14</v>
      </c>
      <c r="F19" s="36">
        <v>384</v>
      </c>
      <c r="G19" s="36">
        <v>884</v>
      </c>
      <c r="H19" s="37">
        <v>0.14000000000000001</v>
      </c>
      <c r="I19" s="36">
        <f>Table1[[#This Row],[Units Sold]]*Table1[[#This Row],[Unit Price]]</f>
        <v>339456</v>
      </c>
      <c r="J19" s="36">
        <f>Table1[[#This Row],[Gross Sales]]*Table1[[#This Row],[Discount %]]</f>
        <v>47523.840000000004</v>
      </c>
      <c r="K19" s="36">
        <f>Table1[[#This Row],[Gross Sales]]-Table1[[#This Row],[Discount Amount]]</f>
        <v>291932.15999999997</v>
      </c>
      <c r="L19" s="38">
        <f>Table1[[#This Row],[Net Sales]]*0.18</f>
        <v>52547.788799999995</v>
      </c>
      <c r="M19" s="38">
        <f>Table1[[#This Row],[Net Sales]]+Table1[[#This Row],[Tax (18%)]]</f>
        <v>344479.94879999995</v>
      </c>
      <c r="N19" s="36" t="str">
        <f>IF(Table1[[#This Row],[Net Sales]]&gt;250000,"High Volume","Standard")</f>
        <v>High Volume</v>
      </c>
    </row>
    <row r="20" spans="2:14" x14ac:dyDescent="0.3">
      <c r="B20" s="34">
        <v>15</v>
      </c>
      <c r="C20" s="35">
        <f t="shared" si="0"/>
        <v>46366</v>
      </c>
      <c r="D20" s="36" t="s">
        <v>18</v>
      </c>
      <c r="E20" s="36" t="s">
        <v>15</v>
      </c>
      <c r="F20" s="36">
        <v>313</v>
      </c>
      <c r="G20" s="36">
        <v>345</v>
      </c>
      <c r="H20" s="37">
        <v>0.08</v>
      </c>
      <c r="I20" s="36">
        <f>Table1[[#This Row],[Units Sold]]*Table1[[#This Row],[Unit Price]]</f>
        <v>107985</v>
      </c>
      <c r="J20" s="36">
        <f>Table1[[#This Row],[Gross Sales]]*Table1[[#This Row],[Discount %]]</f>
        <v>8638.7999999999993</v>
      </c>
      <c r="K20" s="36">
        <f>Table1[[#This Row],[Gross Sales]]-Table1[[#This Row],[Discount Amount]]</f>
        <v>99346.2</v>
      </c>
      <c r="L20" s="38">
        <f>Table1[[#This Row],[Net Sales]]*0.18</f>
        <v>17882.315999999999</v>
      </c>
      <c r="M20" s="38">
        <f>Table1[[#This Row],[Net Sales]]+Table1[[#This Row],[Tax (18%)]]</f>
        <v>117228.516</v>
      </c>
      <c r="N20" s="36" t="str">
        <f>IF(Table1[[#This Row],[Net Sales]]&gt;250000,"High Volume","Standard")</f>
        <v>Standard</v>
      </c>
    </row>
    <row r="21" spans="2:14" x14ac:dyDescent="0.3">
      <c r="B21" s="36">
        <v>16</v>
      </c>
      <c r="C21" s="35">
        <f t="shared" si="0"/>
        <v>46371</v>
      </c>
      <c r="D21" s="36" t="s">
        <v>19</v>
      </c>
      <c r="E21" s="36" t="s">
        <v>13</v>
      </c>
      <c r="F21" s="36">
        <v>204</v>
      </c>
      <c r="G21" s="36">
        <v>326</v>
      </c>
      <c r="H21" s="37">
        <v>0.15</v>
      </c>
      <c r="I21" s="36">
        <f>Table1[[#This Row],[Units Sold]]*Table1[[#This Row],[Unit Price]]</f>
        <v>66504</v>
      </c>
      <c r="J21" s="36">
        <f>Table1[[#This Row],[Gross Sales]]*Table1[[#This Row],[Discount %]]</f>
        <v>9975.6</v>
      </c>
      <c r="K21" s="36">
        <f>Table1[[#This Row],[Gross Sales]]-Table1[[#This Row],[Discount Amount]]</f>
        <v>56528.4</v>
      </c>
      <c r="L21" s="38">
        <f>Table1[[#This Row],[Net Sales]]*0.18</f>
        <v>10175.111999999999</v>
      </c>
      <c r="M21" s="38">
        <f>Table1[[#This Row],[Net Sales]]+Table1[[#This Row],[Tax (18%)]]</f>
        <v>66703.512000000002</v>
      </c>
      <c r="N21" s="36" t="str">
        <f>IF(Table1[[#This Row],[Net Sales]]&gt;250000,"High Volume","Standard")</f>
        <v>Standard</v>
      </c>
    </row>
    <row r="22" spans="2:14" x14ac:dyDescent="0.3">
      <c r="B22" s="34">
        <v>17</v>
      </c>
      <c r="C22" s="35">
        <f t="shared" si="0"/>
        <v>46376</v>
      </c>
      <c r="D22" s="36" t="s">
        <v>16</v>
      </c>
      <c r="E22" s="36" t="s">
        <v>14</v>
      </c>
      <c r="F22" s="36">
        <v>54</v>
      </c>
      <c r="G22" s="36">
        <v>236</v>
      </c>
      <c r="H22" s="37">
        <v>0.02</v>
      </c>
      <c r="I22" s="36">
        <f>Table1[[#This Row],[Units Sold]]*Table1[[#This Row],[Unit Price]]</f>
        <v>12744</v>
      </c>
      <c r="J22" s="36">
        <f>Table1[[#This Row],[Gross Sales]]*Table1[[#This Row],[Discount %]]</f>
        <v>254.88</v>
      </c>
      <c r="K22" s="36">
        <f>Table1[[#This Row],[Gross Sales]]-Table1[[#This Row],[Discount Amount]]</f>
        <v>12489.12</v>
      </c>
      <c r="L22" s="38">
        <f>Table1[[#This Row],[Net Sales]]*0.18</f>
        <v>2248.0416</v>
      </c>
      <c r="M22" s="38">
        <f>Table1[[#This Row],[Net Sales]]+Table1[[#This Row],[Tax (18%)]]</f>
        <v>14737.161600000001</v>
      </c>
      <c r="N22" s="36" t="str">
        <f>IF(Table1[[#This Row],[Net Sales]]&gt;250000,"High Volume","Standard")</f>
        <v>Standard</v>
      </c>
    </row>
    <row r="23" spans="2:14" x14ac:dyDescent="0.3">
      <c r="B23" s="36">
        <v>18</v>
      </c>
      <c r="C23" s="35">
        <f t="shared" si="0"/>
        <v>46381</v>
      </c>
      <c r="D23" s="36" t="s">
        <v>17</v>
      </c>
      <c r="E23" s="36" t="s">
        <v>15</v>
      </c>
      <c r="F23" s="36">
        <v>373</v>
      </c>
      <c r="G23" s="36">
        <v>622</v>
      </c>
      <c r="H23" s="37">
        <v>0.03</v>
      </c>
      <c r="I23" s="36">
        <f>Table1[[#This Row],[Units Sold]]*Table1[[#This Row],[Unit Price]]</f>
        <v>232006</v>
      </c>
      <c r="J23" s="36">
        <f>Table1[[#This Row],[Gross Sales]]*Table1[[#This Row],[Discount %]]</f>
        <v>6960.1799999999994</v>
      </c>
      <c r="K23" s="36">
        <f>Table1[[#This Row],[Gross Sales]]-Table1[[#This Row],[Discount Amount]]</f>
        <v>225045.82</v>
      </c>
      <c r="L23" s="38">
        <f>Table1[[#This Row],[Net Sales]]*0.18</f>
        <v>40508.247600000002</v>
      </c>
      <c r="M23" s="38">
        <f>Table1[[#This Row],[Net Sales]]+Table1[[#This Row],[Tax (18%)]]</f>
        <v>265554.06760000001</v>
      </c>
      <c r="N23" s="36" t="str">
        <f>IF(Table1[[#This Row],[Net Sales]]&gt;250000,"High Volume","Standard")</f>
        <v>Standard</v>
      </c>
    </row>
    <row r="24" spans="2:14" x14ac:dyDescent="0.3">
      <c r="B24" s="34">
        <v>19</v>
      </c>
      <c r="C24" s="35">
        <f>C23+5</f>
        <v>46386</v>
      </c>
      <c r="D24" s="36" t="s">
        <v>18</v>
      </c>
      <c r="E24" s="36" t="s">
        <v>13</v>
      </c>
      <c r="F24" s="36">
        <v>333</v>
      </c>
      <c r="G24" s="36">
        <v>354</v>
      </c>
      <c r="H24" s="37">
        <v>0.05</v>
      </c>
      <c r="I24" s="36">
        <f>Table1[[#This Row],[Units Sold]]*Table1[[#This Row],[Unit Price]]</f>
        <v>117882</v>
      </c>
      <c r="J24" s="36">
        <f>Table1[[#This Row],[Gross Sales]]*Table1[[#This Row],[Discount %]]</f>
        <v>5894.1</v>
      </c>
      <c r="K24" s="36">
        <f>Table1[[#This Row],[Gross Sales]]-Table1[[#This Row],[Discount Amount]]</f>
        <v>111987.9</v>
      </c>
      <c r="L24" s="38">
        <f>Table1[[#This Row],[Net Sales]]*0.18</f>
        <v>20157.821999999996</v>
      </c>
      <c r="M24" s="38">
        <f>Table1[[#This Row],[Net Sales]]+Table1[[#This Row],[Tax (18%)]]</f>
        <v>132145.72199999998</v>
      </c>
      <c r="N24" s="36" t="str">
        <f>IF(Table1[[#This Row],[Net Sales]]&gt;250000,"High Volume","Standard")</f>
        <v>Standard</v>
      </c>
    </row>
    <row r="25" spans="2:14" ht="15" thickBot="1" x14ac:dyDescent="0.35"/>
    <row r="26" spans="2:14" ht="15" customHeight="1" thickTop="1" thickBot="1" x14ac:dyDescent="0.35">
      <c r="C26" s="13" t="s">
        <v>20</v>
      </c>
      <c r="D26" s="14"/>
      <c r="E26" s="13" t="s">
        <v>12</v>
      </c>
      <c r="F26" s="14"/>
      <c r="I26" s="28" t="s">
        <v>27</v>
      </c>
      <c r="J26" s="29"/>
      <c r="K26" s="28" t="s">
        <v>28</v>
      </c>
      <c r="L26" s="28"/>
      <c r="M26" s="28"/>
    </row>
    <row r="27" spans="2:14" ht="15" customHeight="1" thickBot="1" x14ac:dyDescent="0.35">
      <c r="C27" s="15"/>
      <c r="D27" s="16"/>
      <c r="E27" s="15"/>
      <c r="F27" s="16"/>
      <c r="I27" s="29"/>
      <c r="J27" s="29"/>
      <c r="K27" s="28"/>
      <c r="L27" s="28"/>
      <c r="M27" s="28"/>
    </row>
    <row r="28" spans="2:14" ht="15" customHeight="1" thickTop="1" thickBot="1" x14ac:dyDescent="0.35">
      <c r="C28" s="9" t="s">
        <v>21</v>
      </c>
      <c r="D28" s="10"/>
      <c r="E28" s="19">
        <f>SUM(Table1[Total Revenue])</f>
        <v>4493262.8348000003</v>
      </c>
      <c r="F28" s="20"/>
      <c r="I28" s="25">
        <v>14</v>
      </c>
      <c r="J28" s="26"/>
      <c r="K28" s="25">
        <v>1</v>
      </c>
      <c r="L28" s="25"/>
      <c r="M28" s="25"/>
    </row>
    <row r="29" spans="2:14" ht="15" customHeight="1" thickBot="1" x14ac:dyDescent="0.35">
      <c r="C29" s="11"/>
      <c r="D29" s="12"/>
      <c r="E29" s="21"/>
      <c r="F29" s="22"/>
      <c r="I29" s="26"/>
      <c r="J29" s="26"/>
      <c r="K29" s="25"/>
      <c r="L29" s="25"/>
      <c r="M29" s="25"/>
    </row>
    <row r="30" spans="2:14" ht="15" customHeight="1" thickTop="1" thickBot="1" x14ac:dyDescent="0.35">
      <c r="C30" s="9" t="s">
        <v>22</v>
      </c>
      <c r="D30" s="10"/>
      <c r="E30" s="19">
        <f>AVERAGE(Table1[Total Revenue])</f>
        <v>236487.51762105266</v>
      </c>
      <c r="F30" s="20"/>
      <c r="I30" s="27" cm="1">
        <f t="array" ref="I30">_xlfn.XLOOKUP(I28,B6:B24,Table1[Total Revenue])</f>
        <v>344479.94879999995</v>
      </c>
      <c r="J30" s="27"/>
      <c r="K30" s="27">
        <f>VLOOKUP(K28,B5:N24,12,FALSE)</f>
        <v>349506.56</v>
      </c>
      <c r="L30" s="27"/>
      <c r="M30" s="27"/>
    </row>
    <row r="31" spans="2:14" ht="15" customHeight="1" thickBot="1" x14ac:dyDescent="0.35">
      <c r="C31" s="11"/>
      <c r="D31" s="12"/>
      <c r="E31" s="21"/>
      <c r="F31" s="22"/>
      <c r="I31" s="27"/>
      <c r="J31" s="27"/>
      <c r="K31" s="27"/>
      <c r="L31" s="27"/>
      <c r="M31" s="27"/>
    </row>
    <row r="32" spans="2:14" ht="15" customHeight="1" thickTop="1" thickBot="1" x14ac:dyDescent="0.35">
      <c r="C32" s="9" t="s">
        <v>23</v>
      </c>
      <c r="D32" s="10"/>
      <c r="E32" s="19">
        <f>MAX(Table1[Total Revenue])</f>
        <v>1613792.544</v>
      </c>
      <c r="F32" s="20"/>
    </row>
    <row r="33" spans="3:11" ht="15" customHeight="1" thickTop="1" thickBot="1" x14ac:dyDescent="0.35">
      <c r="C33" s="11"/>
      <c r="D33" s="12"/>
      <c r="E33" s="21"/>
      <c r="F33" s="22"/>
      <c r="I33" s="17" t="s">
        <v>30</v>
      </c>
      <c r="J33" s="17"/>
      <c r="K33" s="17"/>
    </row>
    <row r="34" spans="3:11" ht="15.6" customHeight="1" thickTop="1" thickBot="1" x14ac:dyDescent="0.35">
      <c r="C34" s="9" t="s">
        <v>24</v>
      </c>
      <c r="D34" s="10"/>
      <c r="E34" s="23">
        <f>COUNT(Table1[Total Revenue])</f>
        <v>19</v>
      </c>
      <c r="F34" s="23"/>
      <c r="I34" s="3" t="s">
        <v>31</v>
      </c>
      <c r="J34" s="4" t="s">
        <v>32</v>
      </c>
      <c r="K34" s="5" t="s">
        <v>33</v>
      </c>
    </row>
    <row r="35" spans="3:11" ht="15.6" customHeight="1" thickTop="1" thickBot="1" x14ac:dyDescent="0.35">
      <c r="C35" s="11"/>
      <c r="D35" s="12"/>
      <c r="E35" s="23"/>
      <c r="F35" s="23"/>
      <c r="I35" s="6">
        <v>50000</v>
      </c>
      <c r="J35" s="7">
        <v>7.0000000000000007E-2</v>
      </c>
      <c r="K35" s="8">
        <v>3</v>
      </c>
    </row>
    <row r="36" spans="3:11" ht="15.6" thickTop="1" thickBot="1" x14ac:dyDescent="0.35">
      <c r="C36" s="9" t="s">
        <v>25</v>
      </c>
      <c r="D36" s="10"/>
      <c r="E36" s="23">
        <f>SUMIF(Table1[Region],"North",Table1[Total Revenue])</f>
        <v>2037289.3284000002</v>
      </c>
      <c r="F36" s="23"/>
      <c r="I36" s="18">
        <f>PMT(J35/12,K35*12,-I35)</f>
        <v>1543.8548432685968</v>
      </c>
      <c r="J36" s="18"/>
      <c r="K36" s="18"/>
    </row>
    <row r="37" spans="3:11" ht="15.6" thickTop="1" thickBot="1" x14ac:dyDescent="0.35">
      <c r="C37" s="11"/>
      <c r="D37" s="12"/>
      <c r="E37" s="23"/>
      <c r="F37" s="23"/>
    </row>
    <row r="38" spans="3:11" ht="15.6" thickTop="1" thickBot="1" x14ac:dyDescent="0.35">
      <c r="C38" s="9" t="s">
        <v>26</v>
      </c>
      <c r="D38" s="10"/>
      <c r="E38" s="24">
        <f>COUNTIFS(Table1[Product Category],"Electronics",Table1[Region],"West")</f>
        <v>2</v>
      </c>
      <c r="F38" s="24"/>
    </row>
    <row r="39" spans="3:11" ht="15.6" thickTop="1" thickBot="1" x14ac:dyDescent="0.35">
      <c r="C39" s="11"/>
      <c r="D39" s="12"/>
      <c r="E39" s="24"/>
      <c r="F39" s="24"/>
    </row>
    <row r="40" spans="3:11" ht="15.6" customHeight="1" thickTop="1" x14ac:dyDescent="0.3"/>
    <row r="41" spans="3:11" ht="15.6" customHeight="1" x14ac:dyDescent="0.3"/>
  </sheetData>
  <mergeCells count="23">
    <mergeCell ref="K26:M27"/>
    <mergeCell ref="K28:M29"/>
    <mergeCell ref="K30:M31"/>
    <mergeCell ref="I26:J27"/>
    <mergeCell ref="B3:N4"/>
    <mergeCell ref="C38:D39"/>
    <mergeCell ref="E36:F37"/>
    <mergeCell ref="E38:F39"/>
    <mergeCell ref="C36:D37"/>
    <mergeCell ref="I28:J29"/>
    <mergeCell ref="I30:J31"/>
    <mergeCell ref="I33:K33"/>
    <mergeCell ref="I36:K36"/>
    <mergeCell ref="E28:F29"/>
    <mergeCell ref="E30:F31"/>
    <mergeCell ref="E32:F33"/>
    <mergeCell ref="E34:F35"/>
    <mergeCell ref="C34:D35"/>
    <mergeCell ref="C26:D27"/>
    <mergeCell ref="E26:F27"/>
    <mergeCell ref="C28:D29"/>
    <mergeCell ref="C30:D31"/>
    <mergeCell ref="C32:D33"/>
  </mergeCells>
  <phoneticPr fontId="3" type="noConversion"/>
  <conditionalFormatting sqref="E6:E8">
    <cfRule type="duplicateValues" dxfId="17" priority="4"/>
  </conditionalFormatting>
  <conditionalFormatting sqref="M6:M24">
    <cfRule type="cellIs" dxfId="16" priority="1" operator="lessThan">
      <formula>$E$30</formula>
    </cfRule>
    <cfRule type="cellIs" dxfId="15" priority="2" operator="greaterThan">
      <formula>$E$30</formula>
    </cfRule>
    <cfRule type="cellIs" dxfId="14" priority="3" operator="greaterThan">
      <formula>"avg($M$6:$M$24)"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130DC-3F4B-4A63-9C4F-277C4A994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Vighne</dc:creator>
  <cp:lastModifiedBy>Sumit Vighne</cp:lastModifiedBy>
  <dcterms:created xsi:type="dcterms:W3CDTF">2026-02-14T15:07:35Z</dcterms:created>
  <dcterms:modified xsi:type="dcterms:W3CDTF">2026-02-16T17:26:19Z</dcterms:modified>
</cp:coreProperties>
</file>